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Apni Padhai\Hackathon\data collection\"/>
    </mc:Choice>
  </mc:AlternateContent>
  <xr:revisionPtr revIDLastSave="0" documentId="13_ncr:1_{EED3B4C2-60B1-488E-9944-AFCAE6655E1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7" i="1" l="1"/>
  <c r="Z58" i="1"/>
  <c r="Z47" i="1"/>
  <c r="Z48" i="1"/>
  <c r="Z49" i="1"/>
  <c r="Z50" i="1"/>
  <c r="Z51" i="1"/>
  <c r="Z52" i="1"/>
  <c r="Z53" i="1"/>
  <c r="Z54" i="1"/>
  <c r="Z55" i="1"/>
  <c r="Z56" i="1"/>
  <c r="Z30" i="1"/>
  <c r="Z31" i="1"/>
  <c r="Z32" i="1"/>
  <c r="Z33" i="1"/>
  <c r="Z34" i="1"/>
  <c r="Z35" i="1"/>
  <c r="Z36" i="1"/>
  <c r="Z37" i="1"/>
  <c r="Z38" i="1"/>
  <c r="Z39" i="1"/>
  <c r="Z40" i="1"/>
  <c r="Z42" i="1"/>
  <c r="Z43" i="1"/>
  <c r="Z44" i="1"/>
  <c r="Z45" i="1"/>
  <c r="Z46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" i="1"/>
  <c r="Z2" i="1"/>
  <c r="D37" i="1"/>
</calcChain>
</file>

<file path=xl/sharedStrings.xml><?xml version="1.0" encoding="utf-8"?>
<sst xmlns="http://schemas.openxmlformats.org/spreadsheetml/2006/main" count="911" uniqueCount="297">
  <si>
    <t>Project_name</t>
  </si>
  <si>
    <t>Project_type</t>
  </si>
  <si>
    <t>Project_id</t>
  </si>
  <si>
    <t>Land Area</t>
  </si>
  <si>
    <t>No. Of affected Families</t>
  </si>
  <si>
    <t>Stake Holder Responsiveness</t>
  </si>
  <si>
    <t>Historical Performance</t>
  </si>
  <si>
    <t>State</t>
  </si>
  <si>
    <t>District_1</t>
  </si>
  <si>
    <t>District_2</t>
  </si>
  <si>
    <t>District_3</t>
  </si>
  <si>
    <t>District_4</t>
  </si>
  <si>
    <t>District_5</t>
  </si>
  <si>
    <t>District_6</t>
  </si>
  <si>
    <t>District_7</t>
  </si>
  <si>
    <t>District_8</t>
  </si>
  <si>
    <t>District_9</t>
  </si>
  <si>
    <t>District_10</t>
  </si>
  <si>
    <t>District_11</t>
  </si>
  <si>
    <t>District_12</t>
  </si>
  <si>
    <t>District_13</t>
  </si>
  <si>
    <t>District_14</t>
  </si>
  <si>
    <t>District_15</t>
  </si>
  <si>
    <t>District_16</t>
  </si>
  <si>
    <t>District_17</t>
  </si>
  <si>
    <t>District_Count</t>
  </si>
  <si>
    <t>Saryu Nahar Pariyojana</t>
  </si>
  <si>
    <t>Irrigation</t>
  </si>
  <si>
    <t>P001</t>
  </si>
  <si>
    <t>Uttar Pradesh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</si>
  <si>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</si>
  <si>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</si>
  <si>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</si>
  <si>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</si>
  <si>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</si>
  <si>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</si>
  <si>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</si>
  <si>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Gorakhpur</t>
  </si>
  <si>
    <t>Maharajganj</t>
  </si>
  <si>
    <t>Irrigation / Canal</t>
  </si>
  <si>
    <t>Prayagraj</t>
  </si>
  <si>
    <t>Chaudhary Charan Singh Lahchura Dam Modernisation</t>
  </si>
  <si>
    <t>Irrigation / Dam Modernisation</t>
  </si>
  <si>
    <t>P003</t>
  </si>
  <si>
    <t>Mahoba</t>
  </si>
  <si>
    <t>Madhya Ganga Canal Project</t>
  </si>
  <si>
    <t>P004</t>
  </si>
  <si>
    <t>Moradabad</t>
  </si>
  <si>
    <t>Amroha</t>
  </si>
  <si>
    <t>Sambhal</t>
  </si>
  <si>
    <t>Kanhar Irrigation Project</t>
  </si>
  <si>
    <t>Irrigation / Dam</t>
  </si>
  <si>
    <t>P005</t>
  </si>
  <si>
    <t>Sonbhadra</t>
  </si>
  <si>
    <t>Kachnauda Dam Project</t>
  </si>
  <si>
    <t>P006</t>
  </si>
  <si>
    <t>Lalitpur</t>
  </si>
  <si>
    <t>P007</t>
  </si>
  <si>
    <t>Badayun Irrigation Scheme</t>
  </si>
  <si>
    <t>P008</t>
  </si>
  <si>
    <t>Budaun</t>
  </si>
  <si>
    <t>Bareilly</t>
  </si>
  <si>
    <t>Irrigation / Canal Modernisation</t>
  </si>
  <si>
    <t>Sarda Sahayak Irrigation System</t>
  </si>
  <si>
    <t>P010</t>
  </si>
  <si>
    <t>Lakhimpur Kheri</t>
  </si>
  <si>
    <t>Sitapur</t>
  </si>
  <si>
    <t>Barabanki</t>
  </si>
  <si>
    <t>Lucknow</t>
  </si>
  <si>
    <t>Rae Bareli</t>
  </si>
  <si>
    <t>Pratapgarh</t>
  </si>
  <si>
    <t>Sultanpur</t>
  </si>
  <si>
    <t>Faizabad</t>
  </si>
  <si>
    <t>Ambedkar Nagar</t>
  </si>
  <si>
    <t>Jaunpur</t>
  </si>
  <si>
    <t>Azamgarh</t>
  </si>
  <si>
    <t>Mau</t>
  </si>
  <si>
    <t>Prayagraj (Allahabad)</t>
  </si>
  <si>
    <t>Varanasi</t>
  </si>
  <si>
    <t>Ghazipur</t>
  </si>
  <si>
    <t>Ballia</t>
  </si>
  <si>
    <t>Umarhut Canal Second Stage</t>
  </si>
  <si>
    <t>P011</t>
  </si>
  <si>
    <t>Matatila Dam Modernisation</t>
  </si>
  <si>
    <t>P012</t>
  </si>
  <si>
    <t>Sharda Canal Modernisation</t>
  </si>
  <si>
    <t>P015</t>
  </si>
  <si>
    <t>Agra-Lucknow Expressway</t>
  </si>
  <si>
    <t>Expressway</t>
  </si>
  <si>
    <t>P016</t>
  </si>
  <si>
    <t>Agra</t>
  </si>
  <si>
    <t>Firozabad</t>
  </si>
  <si>
    <t>Mainpuri</t>
  </si>
  <si>
    <t>Etawah</t>
  </si>
  <si>
    <t>Auraiya</t>
  </si>
  <si>
    <t>Kannauj</t>
  </si>
  <si>
    <t>Hardoi</t>
  </si>
  <si>
    <t>Unnao</t>
  </si>
  <si>
    <t>Kanpur nagar</t>
  </si>
  <si>
    <t>Purvanchal Expressway</t>
  </si>
  <si>
    <t>P017</t>
  </si>
  <si>
    <t>Faizabad (Ayodhya)</t>
  </si>
  <si>
    <t>Amethi</t>
  </si>
  <si>
    <t>Bundelkhand Expressway</t>
  </si>
  <si>
    <t>P018</t>
  </si>
  <si>
    <t>Chitrakoot</t>
  </si>
  <si>
    <t>Banda</t>
  </si>
  <si>
    <t>Hamirpur</t>
  </si>
  <si>
    <t>Jalaun</t>
  </si>
  <si>
    <t>Gorakhpur Link Expressway</t>
  </si>
  <si>
    <t>P019</t>
  </si>
  <si>
    <t>Eastern Peripheral Expressway — UP Section</t>
  </si>
  <si>
    <t>P020</t>
  </si>
  <si>
    <t>Ghaziabad</t>
  </si>
  <si>
    <t>Baghpat</t>
  </si>
  <si>
    <t>Lucknow Ring Road</t>
  </si>
  <si>
    <t>Ring Road / Highway</t>
  </si>
  <si>
    <t>P021</t>
  </si>
  <si>
    <t>Varanasi Ring Road</t>
  </si>
  <si>
    <t>P022</t>
  </si>
  <si>
    <t>Ayodhya Ring Road</t>
  </si>
  <si>
    <t>P023</t>
  </si>
  <si>
    <t>Ayodhya (Faizabad)</t>
  </si>
  <si>
    <t>National Highway Improvement</t>
  </si>
  <si>
    <t>Kanpur Nagar</t>
  </si>
  <si>
    <t>Lucknow-Kanpur Road / NH-27 Improvement</t>
  </si>
  <si>
    <t>P025</t>
  </si>
  <si>
    <t>Bulandshahr</t>
  </si>
  <si>
    <t>Aligarh</t>
  </si>
  <si>
    <t>Meerut-Bulandshahr NH-235 / NH-334 Improvement</t>
  </si>
  <si>
    <t>P027</t>
  </si>
  <si>
    <t>Meerut</t>
  </si>
  <si>
    <t>Moradabad-Bareilly NH-24 / NH-30 Improvement</t>
  </si>
  <si>
    <t>P028</t>
  </si>
  <si>
    <t>Rampur</t>
  </si>
  <si>
    <t>NH-24 / NH-58 Widening Projects in Western UP</t>
  </si>
  <si>
    <t>National Highway Widening</t>
  </si>
  <si>
    <t>P029</t>
  </si>
  <si>
    <t>National Highway Road-Widening Works under Central Road Fund in UP</t>
  </si>
  <si>
    <t>P030</t>
  </si>
  <si>
    <t>Kushinagar International Airport</t>
  </si>
  <si>
    <t>Airport</t>
  </si>
  <si>
    <t>P031</t>
  </si>
  <si>
    <t>Kushinagar</t>
  </si>
  <si>
    <t>Ayodhya Airport Expansion / Development</t>
  </si>
  <si>
    <t>P032</t>
  </si>
  <si>
    <t>Varanasi Airport Expansion</t>
  </si>
  <si>
    <t>P033</t>
  </si>
  <si>
    <t>Prayagraj Airport Redevelopment</t>
  </si>
  <si>
    <t>P034</t>
  </si>
  <si>
    <t>Kanpur Airport Civil Enclave Expansion</t>
  </si>
  <si>
    <t>Airport / Civil Enclave</t>
  </si>
  <si>
    <t>P035</t>
  </si>
  <si>
    <t>Gorakhpur Airport Expansion</t>
  </si>
  <si>
    <t>P036</t>
  </si>
  <si>
    <t>Bareilly Airport Expansion</t>
  </si>
  <si>
    <t>P037</t>
  </si>
  <si>
    <t>Agra Airport Civil Enclave Expansion</t>
  </si>
  <si>
    <t>P038</t>
  </si>
  <si>
    <t>Hindon Airport Civil Enclave Development</t>
  </si>
  <si>
    <t>P040</t>
  </si>
  <si>
    <t>Kanpur Metro Phase 1</t>
  </si>
  <si>
    <t>Metro Rail</t>
  </si>
  <si>
    <t>P041</t>
  </si>
  <si>
    <t>Kanpur Metro Phase 2</t>
  </si>
  <si>
    <t>P043</t>
  </si>
  <si>
    <t>Agra Metro Phase 2</t>
  </si>
  <si>
    <t>P044</t>
  </si>
  <si>
    <t>Kanpur Metro Depot / Stabling Works</t>
  </si>
  <si>
    <t>Metro Rail / Depot</t>
  </si>
  <si>
    <t>P045</t>
  </si>
  <si>
    <t>Agra Metro Depot / Stabling Works</t>
  </si>
  <si>
    <t>P046</t>
  </si>
  <si>
    <t>Lucknow Urban Transport Projects under JNNURM</t>
  </si>
  <si>
    <t>Urban Transport</t>
  </si>
  <si>
    <t>P047</t>
  </si>
  <si>
    <t>UPSIDA Industrial-Area Development Projects</t>
  </si>
  <si>
    <t>Industrial Infrastructure / Land Acquisition</t>
  </si>
  <si>
    <t>P049</t>
  </si>
  <si>
    <t>Industrial Infrastructure</t>
  </si>
  <si>
    <t>Ghaziabad Industrial-Area Development Projects</t>
  </si>
  <si>
    <t>P052</t>
  </si>
  <si>
    <t>Kanpur Industrial-Area Development Projects</t>
  </si>
  <si>
    <t>P053</t>
  </si>
  <si>
    <t>Greater Noida Industrial Infrastructure Projects</t>
  </si>
  <si>
    <t>P054</t>
  </si>
  <si>
    <t>Gautam Buddh Nagar</t>
  </si>
  <si>
    <t>Bundelkhand Defence Corridor — UP Nodes</t>
  </si>
  <si>
    <t>Industrial / Defence Infrastructure</t>
  </si>
  <si>
    <t>P055</t>
  </si>
  <si>
    <t>Agra-Lucknow Industrial / Development Nodes</t>
  </si>
  <si>
    <t>P056</t>
  </si>
  <si>
    <t>Purvanchal Industrial Development Projects</t>
  </si>
  <si>
    <t>P057</t>
  </si>
  <si>
    <t>Trans Ganga City Industrial Project</t>
  </si>
  <si>
    <t>Industrial Township</t>
  </si>
  <si>
    <t>P058</t>
  </si>
  <si>
    <t>Integrated Industrial Township, Greater Noida</t>
  </si>
  <si>
    <t>P059</t>
  </si>
  <si>
    <t>Dadri-Greater Noida Industrial / Logistics Development Projects</t>
  </si>
  <si>
    <t>Industrial / Logistics Infrastructure</t>
  </si>
  <si>
    <t>P060</t>
  </si>
  <si>
    <t>Yamuna Expressway</t>
  </si>
  <si>
    <t>P061</t>
  </si>
  <si>
    <t>Mathura</t>
  </si>
  <si>
    <t>Jewar International Airport / Noida International Airport</t>
  </si>
  <si>
    <t>P063</t>
  </si>
  <si>
    <t>Delhi-Meerut Expressway</t>
  </si>
  <si>
    <t>P064</t>
  </si>
  <si>
    <t>GNIDA Land Acquisition / Development Projects</t>
  </si>
  <si>
    <t>Land Acquisition / Urban Development</t>
  </si>
  <si>
    <t>P065</t>
  </si>
  <si>
    <t>Noida Land Acquisition Projects</t>
  </si>
  <si>
    <t>P066</t>
  </si>
  <si>
    <t>Lucknow Metro — Red Line</t>
  </si>
  <si>
    <t>P067</t>
  </si>
  <si>
    <t>Compensation_Status</t>
  </si>
  <si>
    <t>Approval Timelines</t>
  </si>
  <si>
    <t>Legal Disputes</t>
  </si>
  <si>
    <t>Possesion_status</t>
  </si>
  <si>
    <t>Rehabilitation Status</t>
  </si>
  <si>
    <t>Delay_status</t>
  </si>
  <si>
    <t>SnapShot Date</t>
  </si>
  <si>
    <t>NULL</t>
  </si>
  <si>
    <t>Medium</t>
  </si>
  <si>
    <t>Null</t>
  </si>
  <si>
    <t>Low</t>
  </si>
  <si>
    <t>Extremely low</t>
  </si>
  <si>
    <t>LOW</t>
  </si>
  <si>
    <t>Target completion</t>
  </si>
  <si>
    <t>1001.78cr</t>
  </si>
  <si>
    <t xml:space="preserve">Gonda </t>
  </si>
  <si>
    <t>3,188cr</t>
  </si>
  <si>
    <t>Extremely High</t>
  </si>
  <si>
    <t>High</t>
  </si>
  <si>
    <t>HIGH</t>
  </si>
  <si>
    <t>1530cr</t>
  </si>
  <si>
    <t>Budget alloted</t>
  </si>
  <si>
    <t>96.27cr</t>
  </si>
  <si>
    <t>6928cr</t>
  </si>
  <si>
    <t>P068</t>
  </si>
  <si>
    <t>15.78Cr</t>
  </si>
  <si>
    <t>6048cr</t>
  </si>
  <si>
    <t>64CR</t>
  </si>
  <si>
    <t>0CR</t>
  </si>
  <si>
    <t>Moderate</t>
  </si>
  <si>
    <t>89cr</t>
  </si>
  <si>
    <t>425Cr</t>
  </si>
  <si>
    <t>Extremely high</t>
  </si>
  <si>
    <t>3,394CR</t>
  </si>
  <si>
    <t>11,076Cr</t>
  </si>
  <si>
    <t>350Cr</t>
  </si>
  <si>
    <t>327Cr</t>
  </si>
  <si>
    <t>Poor</t>
  </si>
  <si>
    <t>328.3Cr</t>
  </si>
  <si>
    <t xml:space="preserve">Extremely High </t>
  </si>
  <si>
    <t>421.19CR</t>
  </si>
  <si>
    <t>421.19Cr</t>
  </si>
  <si>
    <t>NA</t>
  </si>
  <si>
    <t>10,211Cr</t>
  </si>
  <si>
    <t>Hapur</t>
  </si>
  <si>
    <t>868Cr</t>
  </si>
  <si>
    <t xml:space="preserve">Ghaziabad-Aligarh NH-91 </t>
  </si>
  <si>
    <t>Highway</t>
  </si>
  <si>
    <t>500cr</t>
  </si>
  <si>
    <t>750cr</t>
  </si>
  <si>
    <t>118Cr</t>
  </si>
  <si>
    <t>Extremely Low</t>
  </si>
  <si>
    <t>22494cr</t>
  </si>
  <si>
    <t>Extremely LOW</t>
  </si>
  <si>
    <t>99.58cr</t>
  </si>
  <si>
    <t>1300cr</t>
  </si>
  <si>
    <t>Mostly Paid</t>
  </si>
  <si>
    <t>1350Cr</t>
  </si>
  <si>
    <t>3,400Cr</t>
  </si>
  <si>
    <t>3400Cr</t>
  </si>
  <si>
    <t>73.69Cr</t>
  </si>
  <si>
    <t>930Cr</t>
  </si>
  <si>
    <t>2,869Cr</t>
  </si>
  <si>
    <t>Yeida</t>
  </si>
  <si>
    <t>P069</t>
  </si>
  <si>
    <t>Bhaunrat Dam Project</t>
  </si>
  <si>
    <t>Partial</t>
  </si>
  <si>
    <t>612.77Cr</t>
  </si>
  <si>
    <t>1,252.12Cr</t>
  </si>
  <si>
    <t>388.31Cr</t>
  </si>
  <si>
    <t>981Cr</t>
  </si>
  <si>
    <t>2,078Cr</t>
  </si>
  <si>
    <t>Hathras</t>
  </si>
  <si>
    <t>Bundelkhand</t>
  </si>
  <si>
    <t>Amroha (Jyotiba Phule Nagar)</t>
  </si>
  <si>
    <t>Muzaffarnagar</t>
  </si>
  <si>
    <t>Fatehpur</t>
  </si>
  <si>
    <t>Raebareli</t>
  </si>
  <si>
    <t>Kanpur Dehat</t>
  </si>
  <si>
    <t>Pilibhit</t>
  </si>
  <si>
    <t>Shahjahanpur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</si>
</sst>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sz val="10"/>
      <name val="Arial"/>
      <charset val="134"/>
    </font>
    <font>
      <sz val="8"/>
      <name val="Calibri"/>
      <charset val="134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vertical="top" wrapText="1"/>
    </xf>
    <xf numFmtId="3" fontId="2" fillId="0" borderId="0" xfId="0" applyNumberFormat="1" applyFont="1"/>
    <xf numFmtId="4" fontId="2" fillId="0" borderId="0" xfId="0" applyNumberFormat="1" applyFont="1"/>
    <xf numFmtId="9" fontId="0" fillId="0" borderId="0" xfId="0" applyNumberFormat="1"/>
    <xf numFmtId="3" fontId="0" fillId="0" borderId="0" xfId="0" applyNumberFormat="1"/>
    <xf numFmtId="4" fontId="0" fillId="0" borderId="0" xfId="0" applyNumberFormat="1"/>
    <xf numFmtId="9" fontId="2" fillId="0" borderId="0" xfId="0" applyNumberFormat="1" applyFont="1"/>
    <xf numFmtId="16" fontId="0" fillId="0" borderId="0" xfId="0" applyNumberFormat="1"/>
    <xf numFmtId="10" fontId="0" fillId="0" borderId="0" xfId="0" applyNumberFormat="1"/>
    <xf numFmtId="0" fontId="4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"/>
  <sheetViews>
    <sheetView zoomScale="49" zoomScaleNormal="69" workbookViewId="0">
      <selection activeCell="F42" sqref="F42"/>
    </sheetView>
  </sheetViews>
  <sheetFormatPr defaultColWidth="9" defaultRowHeight="14.5"/>
  <cols>
    <col min="1" max="1" width="61.26953125" customWidth="1"/>
    <col min="2" max="2" width="22.90625" customWidth="1"/>
    <col min="3" max="3" width="19" customWidth="1"/>
    <col min="4" max="4" width="25.90625" customWidth="1"/>
    <col min="5" max="5" width="23.6328125" customWidth="1"/>
    <col min="6" max="6" width="33.08984375" customWidth="1"/>
    <col min="7" max="7" width="25.1796875" customWidth="1"/>
    <col min="8" max="8" width="20.08984375" customWidth="1"/>
    <col min="9" max="9" width="20.54296875" customWidth="1"/>
    <col min="10" max="10" width="14.6328125" customWidth="1"/>
    <col min="11" max="11" width="25" customWidth="1"/>
    <col min="12" max="12" width="16.90625" customWidth="1"/>
    <col min="13" max="13" width="18.81640625" customWidth="1"/>
    <col min="14" max="14" width="20.81640625" customWidth="1"/>
    <col min="15" max="15" width="21.08984375" customWidth="1"/>
    <col min="16" max="16" width="23.54296875" customWidth="1"/>
    <col min="17" max="17" width="19.36328125" customWidth="1"/>
    <col min="18" max="18" width="18.1796875" customWidth="1"/>
    <col min="19" max="19" width="17.6328125" customWidth="1"/>
    <col min="20" max="20" width="18.90625" customWidth="1"/>
    <col min="21" max="21" width="17.81640625" customWidth="1"/>
    <col min="22" max="22" width="16.90625" customWidth="1"/>
    <col min="24" max="24" width="19.453125" customWidth="1"/>
    <col min="25" max="25" width="13.36328125" customWidth="1"/>
    <col min="26" max="26" width="24.269531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s="2" t="s">
        <v>26</v>
      </c>
      <c r="B2" s="2" t="s">
        <v>27</v>
      </c>
      <c r="C2" s="2" t="s">
        <v>28</v>
      </c>
      <c r="D2" s="7">
        <v>1251</v>
      </c>
      <c r="E2" s="2" t="s">
        <v>223</v>
      </c>
      <c r="F2" t="s">
        <v>223</v>
      </c>
      <c r="G2" s="15">
        <v>3.75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/>
      <c r="T2" s="2"/>
      <c r="U2" s="2"/>
      <c r="V2" s="2"/>
      <c r="W2" s="2"/>
      <c r="X2" s="2"/>
      <c r="Y2" s="2"/>
      <c r="Z2" s="6">
        <f>COUNTA(I2:Y2)</f>
        <v>10</v>
      </c>
    </row>
    <row r="3" spans="1:26">
      <c r="A3" s="2" t="s">
        <v>41</v>
      </c>
      <c r="B3" s="2" t="s">
        <v>42</v>
      </c>
      <c r="C3" s="2" t="s">
        <v>43</v>
      </c>
      <c r="D3" s="2">
        <v>2185</v>
      </c>
      <c r="E3" s="2" t="s">
        <v>223</v>
      </c>
      <c r="F3" t="s">
        <v>253</v>
      </c>
      <c r="G3" s="15">
        <v>3.5</v>
      </c>
      <c r="H3" s="2" t="s">
        <v>29</v>
      </c>
      <c r="I3" s="2" t="s">
        <v>44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6">
        <f>COUNTA(I3:Y3)</f>
        <v>1</v>
      </c>
    </row>
    <row r="4" spans="1:26">
      <c r="A4" s="2" t="s">
        <v>45</v>
      </c>
      <c r="B4" s="2" t="s">
        <v>39</v>
      </c>
      <c r="C4" s="2" t="s">
        <v>46</v>
      </c>
      <c r="D4" s="2">
        <v>146532</v>
      </c>
      <c r="E4" s="2"/>
      <c r="F4" t="s">
        <v>223</v>
      </c>
      <c r="G4" s="15">
        <v>3.56</v>
      </c>
      <c r="H4" s="2" t="s">
        <v>29</v>
      </c>
      <c r="I4" s="2" t="s">
        <v>47</v>
      </c>
      <c r="J4" s="2" t="s">
        <v>48</v>
      </c>
      <c r="K4" s="2" t="s">
        <v>49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6">
        <f t="shared" ref="Z4:Z29" si="0">COUNTA(I4:Y4)</f>
        <v>3</v>
      </c>
    </row>
    <row r="5" spans="1:26">
      <c r="A5" s="2" t="s">
        <v>50</v>
      </c>
      <c r="B5" s="2" t="s">
        <v>51</v>
      </c>
      <c r="C5" s="2" t="s">
        <v>52</v>
      </c>
      <c r="D5" s="2">
        <v>4131.5</v>
      </c>
      <c r="E5" s="2">
        <v>10000</v>
      </c>
      <c r="F5" t="s">
        <v>234</v>
      </c>
      <c r="G5" s="15">
        <v>3.5</v>
      </c>
      <c r="H5" s="2" t="s">
        <v>29</v>
      </c>
      <c r="I5" s="2" t="s">
        <v>53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6">
        <f t="shared" si="0"/>
        <v>1</v>
      </c>
    </row>
    <row r="6" spans="1:26">
      <c r="A6" s="2" t="s">
        <v>54</v>
      </c>
      <c r="B6" s="2" t="s">
        <v>51</v>
      </c>
      <c r="C6" s="2" t="s">
        <v>55</v>
      </c>
      <c r="D6" s="2">
        <v>10850</v>
      </c>
      <c r="E6" s="2"/>
      <c r="F6" t="s">
        <v>223</v>
      </c>
      <c r="G6" s="15">
        <v>3.5</v>
      </c>
      <c r="H6" s="2" t="s">
        <v>29</v>
      </c>
      <c r="I6" s="2" t="s">
        <v>56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6">
        <f t="shared" si="0"/>
        <v>1</v>
      </c>
    </row>
    <row r="7" spans="1:26">
      <c r="A7" s="2" t="s">
        <v>281</v>
      </c>
      <c r="B7" s="2" t="s">
        <v>51</v>
      </c>
      <c r="C7" s="2" t="s">
        <v>57</v>
      </c>
      <c r="D7" s="2">
        <v>1650</v>
      </c>
      <c r="E7" s="2">
        <v>997</v>
      </c>
      <c r="F7" t="s">
        <v>245</v>
      </c>
      <c r="G7" s="15">
        <v>3.75</v>
      </c>
      <c r="H7" s="2" t="s">
        <v>29</v>
      </c>
      <c r="I7" s="2" t="s">
        <v>56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6">
        <f t="shared" si="0"/>
        <v>1</v>
      </c>
    </row>
    <row r="8" spans="1:26">
      <c r="A8" s="2" t="s">
        <v>58</v>
      </c>
      <c r="B8" s="2" t="s">
        <v>27</v>
      </c>
      <c r="C8" s="2" t="s">
        <v>59</v>
      </c>
      <c r="D8" s="2">
        <v>53054</v>
      </c>
      <c r="E8" s="2">
        <v>0</v>
      </c>
      <c r="F8" t="s">
        <v>223</v>
      </c>
      <c r="G8" s="15">
        <v>3.5</v>
      </c>
      <c r="H8" s="2" t="s">
        <v>29</v>
      </c>
      <c r="I8" s="2" t="s">
        <v>60</v>
      </c>
      <c r="J8" s="2" t="s">
        <v>127</v>
      </c>
      <c r="K8" s="2" t="s">
        <v>49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6">
        <f t="shared" si="0"/>
        <v>3</v>
      </c>
    </row>
    <row r="9" spans="1:26">
      <c r="A9" s="2" t="s">
        <v>63</v>
      </c>
      <c r="B9" s="2" t="s">
        <v>39</v>
      </c>
      <c r="C9" s="2" t="s">
        <v>64</v>
      </c>
      <c r="D9" s="2" t="s">
        <v>258</v>
      </c>
      <c r="E9" s="2" t="s">
        <v>258</v>
      </c>
      <c r="F9" t="s">
        <v>226</v>
      </c>
      <c r="G9" s="15">
        <v>3.5</v>
      </c>
      <c r="H9" s="2" t="s">
        <v>29</v>
      </c>
      <c r="I9" s="2" t="s">
        <v>65</v>
      </c>
      <c r="J9" s="2" t="s">
        <v>66</v>
      </c>
      <c r="K9" s="2" t="s">
        <v>67</v>
      </c>
      <c r="L9" s="2" t="s">
        <v>68</v>
      </c>
      <c r="M9" s="2" t="s">
        <v>69</v>
      </c>
      <c r="N9" s="2" t="s">
        <v>70</v>
      </c>
      <c r="O9" s="2" t="s">
        <v>71</v>
      </c>
      <c r="P9" s="2" t="s">
        <v>72</v>
      </c>
      <c r="Q9" s="2" t="s">
        <v>73</v>
      </c>
      <c r="R9" s="2" t="s">
        <v>74</v>
      </c>
      <c r="S9" s="2" t="s">
        <v>75</v>
      </c>
      <c r="T9" s="2" t="s">
        <v>76</v>
      </c>
      <c r="U9" s="2" t="s">
        <v>77</v>
      </c>
      <c r="V9" s="2" t="s">
        <v>78</v>
      </c>
      <c r="W9" s="2" t="s">
        <v>79</v>
      </c>
      <c r="X9" s="2" t="s">
        <v>80</v>
      </c>
      <c r="Y9" s="2"/>
      <c r="Z9" s="6">
        <f t="shared" si="0"/>
        <v>16</v>
      </c>
    </row>
    <row r="10" spans="1:26">
      <c r="A10" s="2" t="s">
        <v>81</v>
      </c>
      <c r="B10" s="2" t="s">
        <v>39</v>
      </c>
      <c r="C10" s="2" t="s">
        <v>82</v>
      </c>
      <c r="D10" s="2" t="s">
        <v>258</v>
      </c>
      <c r="E10" s="2" t="s">
        <v>258</v>
      </c>
      <c r="F10" t="s">
        <v>223</v>
      </c>
      <c r="G10" s="15">
        <v>3.5</v>
      </c>
      <c r="H10" s="2" t="s">
        <v>29</v>
      </c>
      <c r="I10" s="2" t="s">
        <v>91</v>
      </c>
      <c r="J10" s="2" t="s">
        <v>93</v>
      </c>
      <c r="K10" s="2" t="s">
        <v>94</v>
      </c>
      <c r="L10" s="2" t="s">
        <v>294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6">
        <f t="shared" si="0"/>
        <v>4</v>
      </c>
    </row>
    <row r="11" spans="1:26">
      <c r="A11" s="2" t="s">
        <v>83</v>
      </c>
      <c r="B11" s="2" t="s">
        <v>42</v>
      </c>
      <c r="C11" s="2" t="s">
        <v>84</v>
      </c>
      <c r="D11" s="2">
        <v>2072000</v>
      </c>
      <c r="E11" s="2" t="s">
        <v>258</v>
      </c>
      <c r="F11" t="s">
        <v>223</v>
      </c>
      <c r="G11" s="15">
        <v>3.56</v>
      </c>
      <c r="H11" s="2" t="s">
        <v>29</v>
      </c>
      <c r="I11" s="2" t="s">
        <v>56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6">
        <f t="shared" si="0"/>
        <v>1</v>
      </c>
    </row>
    <row r="12" spans="1:26">
      <c r="A12" s="2" t="s">
        <v>85</v>
      </c>
      <c r="B12" s="2" t="s">
        <v>62</v>
      </c>
      <c r="C12" s="2" t="s">
        <v>86</v>
      </c>
      <c r="D12">
        <v>1613000</v>
      </c>
      <c r="E12" s="2"/>
      <c r="F12" t="s">
        <v>226</v>
      </c>
      <c r="G12" s="15">
        <v>3.5</v>
      </c>
      <c r="H12" s="2" t="s">
        <v>29</v>
      </c>
      <c r="I12" s="5" t="s">
        <v>295</v>
      </c>
      <c r="J12" s="5" t="s">
        <v>65</v>
      </c>
      <c r="K12" s="5" t="s">
        <v>296</v>
      </c>
      <c r="L12" s="5" t="s">
        <v>96</v>
      </c>
      <c r="M12" s="5" t="s">
        <v>68</v>
      </c>
      <c r="N12" s="5" t="s">
        <v>97</v>
      </c>
      <c r="O12" s="5" t="s">
        <v>67</v>
      </c>
      <c r="P12" s="5" t="s">
        <v>69</v>
      </c>
      <c r="Q12" s="5" t="s">
        <v>70</v>
      </c>
      <c r="R12" s="5" t="s">
        <v>71</v>
      </c>
      <c r="S12" s="5" t="s">
        <v>74</v>
      </c>
      <c r="T12" s="2"/>
      <c r="U12" s="2"/>
      <c r="V12" s="2"/>
      <c r="W12" s="2"/>
      <c r="X12" s="2"/>
      <c r="Y12" s="2"/>
      <c r="Z12" s="6">
        <f t="shared" si="0"/>
        <v>11</v>
      </c>
    </row>
    <row r="13" spans="1:26">
      <c r="A13" s="2" t="s">
        <v>87</v>
      </c>
      <c r="B13" s="2" t="s">
        <v>88</v>
      </c>
      <c r="C13" s="2" t="s">
        <v>89</v>
      </c>
      <c r="D13">
        <v>3500</v>
      </c>
      <c r="E13" s="7">
        <v>30000</v>
      </c>
      <c r="F13" t="s">
        <v>234</v>
      </c>
      <c r="G13" s="15">
        <v>1.58</v>
      </c>
      <c r="H13" s="2" t="s">
        <v>29</v>
      </c>
      <c r="I13" s="2" t="s">
        <v>90</v>
      </c>
      <c r="J13" s="2" t="s">
        <v>91</v>
      </c>
      <c r="K13" s="2" t="s">
        <v>92</v>
      </c>
      <c r="L13" s="2" t="s">
        <v>93</v>
      </c>
      <c r="M13" s="2" t="s">
        <v>94</v>
      </c>
      <c r="N13" s="2" t="s">
        <v>95</v>
      </c>
      <c r="O13" s="2" t="s">
        <v>96</v>
      </c>
      <c r="P13" s="2" t="s">
        <v>97</v>
      </c>
      <c r="Q13" s="2" t="s">
        <v>68</v>
      </c>
      <c r="R13" s="2" t="s">
        <v>98</v>
      </c>
      <c r="S13" s="2" t="s">
        <v>97</v>
      </c>
      <c r="T13" s="2" t="s">
        <v>68</v>
      </c>
      <c r="U13" s="2"/>
      <c r="V13" s="2"/>
      <c r="W13" s="2"/>
      <c r="X13" s="2"/>
      <c r="Y13" s="2"/>
      <c r="Z13" s="6">
        <f t="shared" si="0"/>
        <v>12</v>
      </c>
    </row>
    <row r="14" spans="1:26">
      <c r="A14" s="2" t="s">
        <v>99</v>
      </c>
      <c r="B14" s="2" t="s">
        <v>88</v>
      </c>
      <c r="C14" s="2" t="s">
        <v>100</v>
      </c>
      <c r="D14">
        <v>4335.1379999999999</v>
      </c>
      <c r="E14" s="7">
        <v>28473</v>
      </c>
      <c r="F14" t="s">
        <v>223</v>
      </c>
      <c r="G14" s="15">
        <v>1.63</v>
      </c>
      <c r="H14" s="2" t="s">
        <v>29</v>
      </c>
      <c r="I14" s="2" t="s">
        <v>68</v>
      </c>
      <c r="J14" s="2" t="s">
        <v>67</v>
      </c>
      <c r="K14" s="2" t="s">
        <v>101</v>
      </c>
      <c r="L14" s="2" t="s">
        <v>102</v>
      </c>
      <c r="M14" s="2" t="s">
        <v>73</v>
      </c>
      <c r="N14" s="2" t="s">
        <v>71</v>
      </c>
      <c r="O14" s="2" t="s">
        <v>75</v>
      </c>
      <c r="P14" s="2" t="s">
        <v>76</v>
      </c>
      <c r="Q14" s="2" t="s">
        <v>79</v>
      </c>
      <c r="R14" s="2"/>
      <c r="S14" s="2"/>
      <c r="T14" s="2"/>
      <c r="U14" s="2"/>
      <c r="V14" s="2"/>
      <c r="W14" s="2"/>
      <c r="X14" s="2"/>
      <c r="Y14" s="2"/>
      <c r="Z14" s="6">
        <f t="shared" si="0"/>
        <v>9</v>
      </c>
    </row>
    <row r="15" spans="1:26">
      <c r="A15" s="2" t="s">
        <v>103</v>
      </c>
      <c r="B15" s="2" t="s">
        <v>88</v>
      </c>
      <c r="C15" s="2" t="s">
        <v>104</v>
      </c>
      <c r="D15">
        <v>3223.4850000000001</v>
      </c>
      <c r="E15" s="2"/>
      <c r="F15" t="s">
        <v>234</v>
      </c>
      <c r="G15" s="15">
        <v>1.68</v>
      </c>
      <c r="H15" s="2" t="s">
        <v>29</v>
      </c>
      <c r="I15" s="2" t="s">
        <v>105</v>
      </c>
      <c r="J15" s="2" t="s">
        <v>106</v>
      </c>
      <c r="K15" s="2" t="s">
        <v>44</v>
      </c>
      <c r="L15" s="2" t="s">
        <v>107</v>
      </c>
      <c r="M15" s="2" t="s">
        <v>108</v>
      </c>
      <c r="N15" s="2" t="s">
        <v>94</v>
      </c>
      <c r="O15" s="2" t="s">
        <v>93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6">
        <f t="shared" si="0"/>
        <v>7</v>
      </c>
    </row>
    <row r="16" spans="1:26">
      <c r="A16" s="2" t="s">
        <v>109</v>
      </c>
      <c r="B16" s="2" t="s">
        <v>88</v>
      </c>
      <c r="C16" s="2" t="s">
        <v>110</v>
      </c>
      <c r="D16">
        <v>1095</v>
      </c>
      <c r="E16" s="7">
        <v>3274</v>
      </c>
      <c r="F16" t="s">
        <v>234</v>
      </c>
      <c r="G16" s="15">
        <v>1.48</v>
      </c>
      <c r="H16" s="2" t="s">
        <v>29</v>
      </c>
      <c r="I16" s="2" t="s">
        <v>37</v>
      </c>
      <c r="J16" s="2" t="s">
        <v>75</v>
      </c>
      <c r="K16" s="2" t="s">
        <v>36</v>
      </c>
      <c r="L16" s="2" t="s">
        <v>73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6">
        <f t="shared" si="0"/>
        <v>4</v>
      </c>
    </row>
    <row r="17" spans="1:26">
      <c r="A17" s="2" t="s">
        <v>111</v>
      </c>
      <c r="B17" s="2" t="s">
        <v>88</v>
      </c>
      <c r="C17" s="2" t="s">
        <v>112</v>
      </c>
      <c r="D17" s="10">
        <v>1100</v>
      </c>
      <c r="E17" s="2">
        <v>20000</v>
      </c>
      <c r="F17" t="s">
        <v>234</v>
      </c>
      <c r="G17" s="15">
        <v>1.48</v>
      </c>
      <c r="H17" s="2" t="s">
        <v>29</v>
      </c>
      <c r="I17" s="2" t="s">
        <v>113</v>
      </c>
      <c r="J17" s="2" t="s">
        <v>114</v>
      </c>
      <c r="K17" s="2" t="s">
        <v>186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6">
        <f t="shared" si="0"/>
        <v>3</v>
      </c>
    </row>
    <row r="18" spans="1:26">
      <c r="A18" s="2" t="s">
        <v>115</v>
      </c>
      <c r="B18" s="2" t="s">
        <v>116</v>
      </c>
      <c r="C18" s="2" t="s">
        <v>117</v>
      </c>
      <c r="D18">
        <v>185.495</v>
      </c>
      <c r="E18" s="2" t="s">
        <v>258</v>
      </c>
      <c r="F18" t="s">
        <v>245</v>
      </c>
      <c r="G18" s="15">
        <v>1.55</v>
      </c>
      <c r="H18" s="2" t="s">
        <v>29</v>
      </c>
      <c r="I18" s="2" t="s">
        <v>68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6">
        <f t="shared" si="0"/>
        <v>1</v>
      </c>
    </row>
    <row r="19" spans="1:26">
      <c r="A19" s="2" t="s">
        <v>118</v>
      </c>
      <c r="B19" s="2" t="s">
        <v>116</v>
      </c>
      <c r="C19" s="2" t="s">
        <v>119</v>
      </c>
      <c r="D19" s="2">
        <v>500</v>
      </c>
      <c r="E19" s="2">
        <v>1000</v>
      </c>
      <c r="F19" t="s">
        <v>245</v>
      </c>
      <c r="G19" s="15">
        <v>1.38</v>
      </c>
      <c r="H19" s="2" t="s">
        <v>29</v>
      </c>
      <c r="I19" s="2" t="s">
        <v>78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6">
        <f t="shared" si="0"/>
        <v>1</v>
      </c>
    </row>
    <row r="20" spans="1:26">
      <c r="A20" s="2" t="s">
        <v>120</v>
      </c>
      <c r="B20" s="2" t="s">
        <v>116</v>
      </c>
      <c r="C20" s="2" t="s">
        <v>121</v>
      </c>
      <c r="D20" s="2">
        <v>392</v>
      </c>
      <c r="E20" s="2">
        <v>596</v>
      </c>
      <c r="F20" t="s">
        <v>223</v>
      </c>
      <c r="G20" s="15">
        <v>1.53</v>
      </c>
      <c r="H20" s="2" t="s">
        <v>29</v>
      </c>
      <c r="I20" s="2" t="s">
        <v>122</v>
      </c>
      <c r="J20" s="2" t="s">
        <v>231</v>
      </c>
      <c r="K20" s="2" t="s">
        <v>35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6">
        <f t="shared" si="0"/>
        <v>3</v>
      </c>
    </row>
    <row r="21" spans="1:26">
      <c r="A21" s="2" t="s">
        <v>125</v>
      </c>
      <c r="B21" s="2" t="s">
        <v>123</v>
      </c>
      <c r="C21" s="2" t="s">
        <v>126</v>
      </c>
      <c r="D21" s="2"/>
      <c r="E21" s="2"/>
      <c r="F21" t="s">
        <v>223</v>
      </c>
      <c r="G21" s="15">
        <v>1.53</v>
      </c>
      <c r="H21" s="2" t="s">
        <v>29</v>
      </c>
      <c r="I21" s="2" t="s">
        <v>68</v>
      </c>
      <c r="J21" s="2" t="s">
        <v>97</v>
      </c>
      <c r="K21" s="2" t="s">
        <v>124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6">
        <f t="shared" si="0"/>
        <v>3</v>
      </c>
    </row>
    <row r="22" spans="1:26">
      <c r="A22" s="2" t="s">
        <v>129</v>
      </c>
      <c r="B22" s="2" t="s">
        <v>123</v>
      </c>
      <c r="C22" s="2" t="s">
        <v>130</v>
      </c>
      <c r="D22" s="2">
        <v>300</v>
      </c>
      <c r="E22" s="2"/>
      <c r="F22" t="s">
        <v>245</v>
      </c>
      <c r="G22" s="15">
        <v>1.52</v>
      </c>
      <c r="H22" s="2" t="s">
        <v>29</v>
      </c>
      <c r="I22" s="2" t="s">
        <v>131</v>
      </c>
      <c r="J22" s="2" t="s">
        <v>127</v>
      </c>
      <c r="K22" s="2" t="s">
        <v>260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6">
        <f t="shared" si="0"/>
        <v>3</v>
      </c>
    </row>
    <row r="23" spans="1:26">
      <c r="A23" s="2" t="s">
        <v>132</v>
      </c>
      <c r="B23" s="2" t="s">
        <v>123</v>
      </c>
      <c r="C23" s="2" t="s">
        <v>133</v>
      </c>
      <c r="F23" t="s">
        <v>223</v>
      </c>
      <c r="G23" s="15">
        <v>1.53</v>
      </c>
      <c r="H23" s="2" t="s">
        <v>29</v>
      </c>
      <c r="I23" s="2" t="s">
        <v>47</v>
      </c>
      <c r="J23" s="2" t="s">
        <v>134</v>
      </c>
      <c r="K23" s="2" t="s">
        <v>61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6">
        <f t="shared" si="0"/>
        <v>3</v>
      </c>
    </row>
    <row r="24" spans="1:26" ht="29">
      <c r="A24" s="2" t="s">
        <v>135</v>
      </c>
      <c r="B24" s="2" t="s">
        <v>136</v>
      </c>
      <c r="C24" s="2" t="s">
        <v>137</v>
      </c>
      <c r="D24" s="2" t="s">
        <v>223</v>
      </c>
      <c r="E24" s="2"/>
      <c r="F24" t="s">
        <v>223</v>
      </c>
      <c r="G24" s="15">
        <v>1.53</v>
      </c>
      <c r="H24" s="2" t="s">
        <v>29</v>
      </c>
      <c r="I24" s="5" t="s">
        <v>113</v>
      </c>
      <c r="J24" s="5" t="s">
        <v>260</v>
      </c>
      <c r="K24" s="5" t="s">
        <v>290</v>
      </c>
      <c r="L24" s="5" t="s">
        <v>47</v>
      </c>
      <c r="M24" s="5" t="s">
        <v>131</v>
      </c>
      <c r="N24" s="5" t="s">
        <v>291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6">
        <f t="shared" si="0"/>
        <v>6</v>
      </c>
    </row>
    <row r="25" spans="1:26">
      <c r="A25" s="2" t="s">
        <v>138</v>
      </c>
      <c r="B25" s="2" t="s">
        <v>136</v>
      </c>
      <c r="C25" s="2" t="s">
        <v>139</v>
      </c>
      <c r="D25" s="2" t="s">
        <v>223</v>
      </c>
      <c r="E25" s="2"/>
      <c r="F25" t="s">
        <v>223</v>
      </c>
      <c r="G25" s="15">
        <v>1.53</v>
      </c>
      <c r="H25" s="2" t="s">
        <v>29</v>
      </c>
      <c r="I25" s="5" t="s">
        <v>292</v>
      </c>
      <c r="J25" s="5" t="s">
        <v>288</v>
      </c>
      <c r="K25" s="5" t="s">
        <v>91</v>
      </c>
      <c r="L25" s="5" t="s">
        <v>73</v>
      </c>
      <c r="M25" s="5" t="s">
        <v>108</v>
      </c>
      <c r="N25" s="5" t="s">
        <v>32</v>
      </c>
      <c r="O25" s="5" t="s">
        <v>47</v>
      </c>
      <c r="P25" s="5" t="s">
        <v>293</v>
      </c>
      <c r="Q25" s="5" t="s">
        <v>71</v>
      </c>
      <c r="R25" s="5" t="s">
        <v>74</v>
      </c>
      <c r="S25" s="2"/>
      <c r="T25" s="2"/>
      <c r="U25" s="2"/>
      <c r="V25" s="2"/>
      <c r="W25" s="2"/>
      <c r="X25" s="2"/>
      <c r="Y25" s="2"/>
      <c r="Z25" s="6">
        <f t="shared" si="0"/>
        <v>10</v>
      </c>
    </row>
    <row r="26" spans="1:26">
      <c r="A26" s="2" t="s">
        <v>140</v>
      </c>
      <c r="B26" s="2" t="s">
        <v>141</v>
      </c>
      <c r="C26" s="2" t="s">
        <v>142</v>
      </c>
      <c r="D26">
        <v>238</v>
      </c>
      <c r="E26" s="2">
        <v>0</v>
      </c>
      <c r="F26" t="s">
        <v>223</v>
      </c>
      <c r="G26" s="15">
        <v>1.1200000000000001</v>
      </c>
      <c r="H26" s="2" t="s">
        <v>29</v>
      </c>
      <c r="I26" s="2" t="s">
        <v>143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6">
        <f t="shared" si="0"/>
        <v>1</v>
      </c>
    </row>
    <row r="27" spans="1:26">
      <c r="A27" s="2" t="s">
        <v>144</v>
      </c>
      <c r="B27" s="2" t="s">
        <v>141</v>
      </c>
      <c r="C27" s="2" t="s">
        <v>145</v>
      </c>
      <c r="D27">
        <v>140.66999999999999</v>
      </c>
      <c r="E27" s="2" t="s">
        <v>223</v>
      </c>
      <c r="F27" t="s">
        <v>223</v>
      </c>
      <c r="G27" s="15">
        <v>1.1200000000000001</v>
      </c>
      <c r="H27" s="2" t="s">
        <v>29</v>
      </c>
      <c r="I27" s="2" t="s">
        <v>122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6">
        <f t="shared" si="0"/>
        <v>1</v>
      </c>
    </row>
    <row r="28" spans="1:26">
      <c r="A28" s="2" t="s">
        <v>146</v>
      </c>
      <c r="B28" s="2" t="s">
        <v>141</v>
      </c>
      <c r="C28" s="2" t="s">
        <v>147</v>
      </c>
      <c r="D28">
        <v>117</v>
      </c>
      <c r="E28" s="7">
        <v>5932</v>
      </c>
      <c r="F28" t="s">
        <v>234</v>
      </c>
      <c r="G28" s="15">
        <v>0.9</v>
      </c>
      <c r="H28" s="2" t="s">
        <v>29</v>
      </c>
      <c r="I28" s="2" t="s">
        <v>78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">
        <f t="shared" si="0"/>
        <v>1</v>
      </c>
    </row>
    <row r="29" spans="1:26">
      <c r="A29" s="2" t="s">
        <v>148</v>
      </c>
      <c r="B29" s="2" t="s">
        <v>141</v>
      </c>
      <c r="C29" s="2" t="s">
        <v>149</v>
      </c>
      <c r="D29">
        <v>82.66</v>
      </c>
      <c r="E29">
        <v>2400</v>
      </c>
      <c r="F29" t="s">
        <v>245</v>
      </c>
      <c r="G29" s="15">
        <v>1.1200000000000001</v>
      </c>
      <c r="H29" s="2" t="s">
        <v>29</v>
      </c>
      <c r="I29" s="2" t="s">
        <v>40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6">
        <f t="shared" si="0"/>
        <v>1</v>
      </c>
    </row>
    <row r="30" spans="1:26">
      <c r="A30" s="2" t="s">
        <v>150</v>
      </c>
      <c r="B30" s="2" t="s">
        <v>151</v>
      </c>
      <c r="C30" s="2" t="s">
        <v>152</v>
      </c>
      <c r="D30">
        <v>15.78</v>
      </c>
      <c r="E30" s="2"/>
      <c r="F30" t="s">
        <v>223</v>
      </c>
      <c r="G30" s="15">
        <v>0.9</v>
      </c>
      <c r="H30" s="2" t="s">
        <v>29</v>
      </c>
      <c r="I30" s="2" t="s">
        <v>124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6">
        <f>COUNTA(I30:Y30)</f>
        <v>1</v>
      </c>
    </row>
    <row r="31" spans="1:26">
      <c r="A31" s="2" t="s">
        <v>153</v>
      </c>
      <c r="B31" s="2" t="s">
        <v>141</v>
      </c>
      <c r="C31" s="2" t="s">
        <v>154</v>
      </c>
      <c r="D31" s="2">
        <v>24.28</v>
      </c>
      <c r="E31" s="2" t="s">
        <v>223</v>
      </c>
      <c r="F31" t="s">
        <v>223</v>
      </c>
      <c r="G31" s="15">
        <v>0.38</v>
      </c>
      <c r="H31" s="2" t="s">
        <v>29</v>
      </c>
      <c r="I31" s="2" t="s">
        <v>37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6">
        <f>COUNTA(I31:Y31)</f>
        <v>1</v>
      </c>
    </row>
    <row r="32" spans="1:26">
      <c r="A32" s="2" t="s">
        <v>155</v>
      </c>
      <c r="B32" s="2" t="s">
        <v>141</v>
      </c>
      <c r="C32" s="2" t="s">
        <v>156</v>
      </c>
      <c r="D32" s="2">
        <v>14.16</v>
      </c>
      <c r="E32" s="2"/>
      <c r="F32" t="s">
        <v>223</v>
      </c>
      <c r="G32" s="15">
        <v>0.9</v>
      </c>
      <c r="H32" s="2" t="s">
        <v>29</v>
      </c>
      <c r="I32" s="2" t="s">
        <v>61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6">
        <f t="shared" ref="Z32:Z46" si="1">COUNTA(I32:Y32)</f>
        <v>1</v>
      </c>
    </row>
    <row r="33" spans="1:26">
      <c r="A33" s="2" t="s">
        <v>157</v>
      </c>
      <c r="B33" s="2" t="s">
        <v>151</v>
      </c>
      <c r="C33" s="2" t="s">
        <v>158</v>
      </c>
      <c r="D33" s="2">
        <v>20.153300000000002</v>
      </c>
      <c r="E33" s="2">
        <v>0</v>
      </c>
      <c r="F33" t="s">
        <v>223</v>
      </c>
      <c r="G33" s="15">
        <v>0.9</v>
      </c>
      <c r="H33" s="2" t="s">
        <v>29</v>
      </c>
      <c r="I33" s="2" t="s">
        <v>90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6">
        <f t="shared" si="1"/>
        <v>1</v>
      </c>
    </row>
    <row r="34" spans="1:26">
      <c r="A34" s="2" t="s">
        <v>159</v>
      </c>
      <c r="B34" s="2" t="s">
        <v>151</v>
      </c>
      <c r="C34" s="2" t="s">
        <v>160</v>
      </c>
      <c r="D34" s="2">
        <v>2.2000000000000002</v>
      </c>
      <c r="E34" s="2">
        <v>40</v>
      </c>
      <c r="F34" t="s">
        <v>245</v>
      </c>
      <c r="G34" s="15">
        <v>0.9</v>
      </c>
      <c r="H34" s="2" t="s">
        <v>29</v>
      </c>
      <c r="I34" s="2" t="s">
        <v>113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6">
        <f t="shared" si="1"/>
        <v>1</v>
      </c>
    </row>
    <row r="35" spans="1:26">
      <c r="A35" s="2" t="s">
        <v>161</v>
      </c>
      <c r="B35" s="2" t="s">
        <v>162</v>
      </c>
      <c r="C35" s="2" t="s">
        <v>163</v>
      </c>
      <c r="D35" s="2">
        <v>56</v>
      </c>
      <c r="E35" s="2">
        <v>0</v>
      </c>
      <c r="F35" t="s">
        <v>223</v>
      </c>
      <c r="G35" s="15">
        <v>1</v>
      </c>
      <c r="H35" s="2" t="s">
        <v>29</v>
      </c>
      <c r="I35" s="2" t="s">
        <v>124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6">
        <f t="shared" si="1"/>
        <v>1</v>
      </c>
    </row>
    <row r="36" spans="1:26">
      <c r="A36" s="2" t="s">
        <v>164</v>
      </c>
      <c r="B36" s="2" t="s">
        <v>162</v>
      </c>
      <c r="C36" s="2" t="s">
        <v>165</v>
      </c>
      <c r="D36" s="2">
        <v>32.4</v>
      </c>
      <c r="E36" s="2">
        <v>0</v>
      </c>
      <c r="F36" t="s">
        <v>223</v>
      </c>
      <c r="G36" s="15">
        <v>1</v>
      </c>
      <c r="H36" s="2" t="s">
        <v>29</v>
      </c>
      <c r="I36" s="2" t="s">
        <v>124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6">
        <f t="shared" si="1"/>
        <v>1</v>
      </c>
    </row>
    <row r="37" spans="1:26">
      <c r="A37" s="2" t="s">
        <v>166</v>
      </c>
      <c r="B37" s="2" t="s">
        <v>162</v>
      </c>
      <c r="C37" s="2" t="s">
        <v>167</v>
      </c>
      <c r="D37" s="2">
        <f>54.69+28.7</f>
        <v>83.39</v>
      </c>
      <c r="E37" s="2"/>
      <c r="F37" t="s">
        <v>223</v>
      </c>
      <c r="G37" s="15">
        <v>1.33</v>
      </c>
      <c r="H37" s="2" t="s">
        <v>29</v>
      </c>
      <c r="I37" s="2" t="s">
        <v>90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6">
        <f t="shared" si="1"/>
        <v>1</v>
      </c>
    </row>
    <row r="38" spans="1:26">
      <c r="A38" s="2" t="s">
        <v>168</v>
      </c>
      <c r="B38" s="2" t="s">
        <v>169</v>
      </c>
      <c r="C38" s="2" t="s">
        <v>170</v>
      </c>
      <c r="D38" s="2">
        <v>16.2</v>
      </c>
      <c r="E38" s="2"/>
      <c r="F38" t="s">
        <v>223</v>
      </c>
      <c r="G38" s="15">
        <v>1.33</v>
      </c>
      <c r="H38" s="2" t="s">
        <v>29</v>
      </c>
      <c r="I38" s="2" t="s">
        <v>124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6">
        <f t="shared" si="1"/>
        <v>1</v>
      </c>
    </row>
    <row r="39" spans="1:26">
      <c r="A39" s="2" t="s">
        <v>171</v>
      </c>
      <c r="B39" s="2" t="s">
        <v>169</v>
      </c>
      <c r="C39" s="2" t="s">
        <v>172</v>
      </c>
      <c r="D39" s="2">
        <v>8.6</v>
      </c>
      <c r="E39" s="2"/>
      <c r="F39" t="s">
        <v>223</v>
      </c>
      <c r="G39" s="15">
        <v>1.33</v>
      </c>
      <c r="H39" s="2" t="s">
        <v>29</v>
      </c>
      <c r="I39" s="2" t="s">
        <v>90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6">
        <f t="shared" si="1"/>
        <v>1</v>
      </c>
    </row>
    <row r="40" spans="1:26">
      <c r="A40" s="2" t="s">
        <v>173</v>
      </c>
      <c r="B40" s="2" t="s">
        <v>174</v>
      </c>
      <c r="C40" s="2" t="s">
        <v>175</v>
      </c>
      <c r="D40" s="2" t="s">
        <v>223</v>
      </c>
      <c r="E40" s="2">
        <v>0</v>
      </c>
      <c r="F40" t="s">
        <v>245</v>
      </c>
      <c r="G40" s="15">
        <v>2.14</v>
      </c>
      <c r="H40" s="2" t="s">
        <v>29</v>
      </c>
      <c r="I40" s="2" t="s">
        <v>68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6">
        <f t="shared" si="1"/>
        <v>1</v>
      </c>
    </row>
    <row r="41" spans="1:26">
      <c r="A41" s="2" t="s">
        <v>176</v>
      </c>
      <c r="B41" s="2" t="s">
        <v>177</v>
      </c>
      <c r="C41" s="2" t="s">
        <v>178</v>
      </c>
      <c r="D41" s="2"/>
      <c r="E41" s="2"/>
      <c r="F41" t="s">
        <v>223</v>
      </c>
      <c r="G41" s="15">
        <v>2.14</v>
      </c>
      <c r="H41" s="2" t="s">
        <v>29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6">
        <v>55</v>
      </c>
    </row>
    <row r="42" spans="1:26">
      <c r="A42" s="2" t="s">
        <v>180</v>
      </c>
      <c r="B42" s="2" t="s">
        <v>179</v>
      </c>
      <c r="C42" s="2" t="s">
        <v>181</v>
      </c>
      <c r="D42" s="2" t="s">
        <v>223</v>
      </c>
      <c r="E42" s="2"/>
      <c r="F42" t="s">
        <v>223</v>
      </c>
      <c r="G42" s="15">
        <v>2.14</v>
      </c>
      <c r="H42" s="2" t="s">
        <v>29</v>
      </c>
      <c r="I42" s="2" t="s">
        <v>113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6">
        <f t="shared" si="1"/>
        <v>1</v>
      </c>
    </row>
    <row r="43" spans="1:26">
      <c r="A43" s="2" t="s">
        <v>182</v>
      </c>
      <c r="B43" s="2" t="s">
        <v>179</v>
      </c>
      <c r="C43" s="2" t="s">
        <v>183</v>
      </c>
      <c r="D43" s="2"/>
      <c r="E43" s="2"/>
      <c r="F43" t="s">
        <v>223</v>
      </c>
      <c r="G43" s="15">
        <v>2.14</v>
      </c>
      <c r="H43" s="2" t="s">
        <v>29</v>
      </c>
      <c r="I43" s="2" t="s">
        <v>124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6">
        <f t="shared" si="1"/>
        <v>1</v>
      </c>
    </row>
    <row r="44" spans="1:26">
      <c r="A44" s="2" t="s">
        <v>184</v>
      </c>
      <c r="B44" s="2" t="s">
        <v>179</v>
      </c>
      <c r="C44" s="2" t="s">
        <v>185</v>
      </c>
      <c r="D44" s="2" t="s">
        <v>223</v>
      </c>
      <c r="E44" s="2"/>
      <c r="F44" t="s">
        <v>223</v>
      </c>
      <c r="G44" s="15">
        <v>2.14</v>
      </c>
      <c r="H44" s="2" t="s">
        <v>29</v>
      </c>
      <c r="I44" s="2" t="s">
        <v>186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6">
        <f t="shared" si="1"/>
        <v>1</v>
      </c>
    </row>
    <row r="45" spans="1:26">
      <c r="A45" s="2" t="s">
        <v>187</v>
      </c>
      <c r="B45" s="2" t="s">
        <v>188</v>
      </c>
      <c r="C45" s="2" t="s">
        <v>189</v>
      </c>
      <c r="D45" s="8">
        <v>1202.518</v>
      </c>
      <c r="E45" s="7">
        <v>3576</v>
      </c>
      <c r="F45" t="s">
        <v>223</v>
      </c>
      <c r="G45" s="15">
        <v>2.14</v>
      </c>
      <c r="H45" s="2" t="s">
        <v>29</v>
      </c>
      <c r="I45" s="2" t="s">
        <v>289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6">
        <f t="shared" si="1"/>
        <v>1</v>
      </c>
    </row>
    <row r="46" spans="1:26">
      <c r="A46" s="2" t="s">
        <v>190</v>
      </c>
      <c r="B46" s="2" t="s">
        <v>179</v>
      </c>
      <c r="C46" s="2" t="s">
        <v>191</v>
      </c>
      <c r="D46" s="2" t="s">
        <v>223</v>
      </c>
      <c r="E46" s="2"/>
      <c r="F46" t="s">
        <v>223</v>
      </c>
      <c r="G46" s="15">
        <v>2.14</v>
      </c>
      <c r="H46" s="2" t="s">
        <v>29</v>
      </c>
      <c r="I46" s="2" t="s">
        <v>186</v>
      </c>
      <c r="J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6">
        <f t="shared" si="1"/>
        <v>1</v>
      </c>
    </row>
    <row r="47" spans="1:26">
      <c r="A47" s="2" t="s">
        <v>192</v>
      </c>
      <c r="B47" s="2" t="s">
        <v>179</v>
      </c>
      <c r="C47" s="2" t="s">
        <v>193</v>
      </c>
      <c r="D47" s="7">
        <v>12140</v>
      </c>
      <c r="E47" s="2"/>
      <c r="F47" t="s">
        <v>223</v>
      </c>
      <c r="G47" s="15">
        <v>2.14</v>
      </c>
      <c r="H47" s="2" t="s">
        <v>29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6">
        <f>COUNTA(I47:Y47)</f>
        <v>0</v>
      </c>
    </row>
    <row r="48" spans="1:26">
      <c r="A48" s="2" t="s">
        <v>194</v>
      </c>
      <c r="B48" s="2" t="s">
        <v>195</v>
      </c>
      <c r="C48" s="2" t="s">
        <v>196</v>
      </c>
      <c r="D48" s="2">
        <v>462</v>
      </c>
      <c r="E48" s="2" t="s">
        <v>223</v>
      </c>
      <c r="F48" t="s">
        <v>245</v>
      </c>
      <c r="G48" s="15">
        <v>2.14</v>
      </c>
      <c r="H48" s="2" t="s">
        <v>29</v>
      </c>
      <c r="I48" s="2" t="s">
        <v>97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6">
        <f>COUNTA(I48:Y48)</f>
        <v>1</v>
      </c>
    </row>
    <row r="49" spans="1:26">
      <c r="A49" s="2" t="s">
        <v>197</v>
      </c>
      <c r="B49" s="2" t="s">
        <v>195</v>
      </c>
      <c r="C49" s="2" t="s">
        <v>198</v>
      </c>
      <c r="D49" s="2">
        <v>302.5</v>
      </c>
      <c r="E49" s="2"/>
      <c r="F49" t="s">
        <v>223</v>
      </c>
      <c r="G49" s="15">
        <v>2.14</v>
      </c>
      <c r="H49" s="2" t="s">
        <v>29</v>
      </c>
      <c r="I49" s="2" t="s">
        <v>186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6">
        <f t="shared" ref="Z49:Z56" si="2">COUNTA(I49:Y49)</f>
        <v>1</v>
      </c>
    </row>
    <row r="50" spans="1:26">
      <c r="A50" s="2" t="s">
        <v>199</v>
      </c>
      <c r="B50" s="2" t="s">
        <v>200</v>
      </c>
      <c r="C50" s="2" t="s">
        <v>201</v>
      </c>
      <c r="D50" s="2">
        <v>747.5</v>
      </c>
      <c r="E50" s="2"/>
      <c r="F50" t="s">
        <v>223</v>
      </c>
      <c r="G50" s="15">
        <v>2.14</v>
      </c>
      <c r="H50" s="2" t="s">
        <v>29</v>
      </c>
      <c r="I50" s="2" t="s">
        <v>186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6">
        <f t="shared" si="2"/>
        <v>1</v>
      </c>
    </row>
    <row r="51" spans="1:26">
      <c r="A51" s="2" t="s">
        <v>202</v>
      </c>
      <c r="B51" s="2" t="s">
        <v>88</v>
      </c>
      <c r="C51" s="2" t="s">
        <v>203</v>
      </c>
      <c r="D51" s="2">
        <v>2009.58</v>
      </c>
      <c r="E51" s="2"/>
      <c r="F51" t="s">
        <v>223</v>
      </c>
      <c r="G51" s="15">
        <v>1.53</v>
      </c>
      <c r="H51" s="2" t="s">
        <v>29</v>
      </c>
      <c r="I51" s="2" t="s">
        <v>186</v>
      </c>
      <c r="J51" s="2" t="s">
        <v>128</v>
      </c>
      <c r="K51" s="2" t="s">
        <v>204</v>
      </c>
      <c r="L51" s="2" t="s">
        <v>90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6">
        <f t="shared" si="2"/>
        <v>4</v>
      </c>
    </row>
    <row r="52" spans="1:26">
      <c r="A52" s="2" t="s">
        <v>205</v>
      </c>
      <c r="B52" s="2" t="s">
        <v>141</v>
      </c>
      <c r="C52" s="2" t="s">
        <v>206</v>
      </c>
      <c r="D52" s="7">
        <v>1334.6913999999999</v>
      </c>
      <c r="E52" s="7">
        <v>6839</v>
      </c>
      <c r="F52" t="s">
        <v>223</v>
      </c>
      <c r="G52" s="15">
        <v>0.75</v>
      </c>
      <c r="H52" s="2" t="s">
        <v>29</v>
      </c>
      <c r="I52" s="2" t="s">
        <v>186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6">
        <f t="shared" si="2"/>
        <v>1</v>
      </c>
    </row>
    <row r="53" spans="1:26">
      <c r="A53" s="2" t="s">
        <v>207</v>
      </c>
      <c r="B53" s="2" t="s">
        <v>88</v>
      </c>
      <c r="C53" s="2" t="s">
        <v>208</v>
      </c>
      <c r="D53" s="2">
        <v>1100</v>
      </c>
      <c r="E53" s="2">
        <v>78</v>
      </c>
      <c r="F53" t="s">
        <v>223</v>
      </c>
      <c r="G53" s="15">
        <v>1.48</v>
      </c>
      <c r="H53" s="2" t="s">
        <v>29</v>
      </c>
      <c r="I53" s="2" t="s">
        <v>113</v>
      </c>
      <c r="J53" s="2" t="s">
        <v>131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6">
        <f t="shared" si="2"/>
        <v>2</v>
      </c>
    </row>
    <row r="54" spans="1:26">
      <c r="A54" s="2" t="s">
        <v>209</v>
      </c>
      <c r="B54" s="2" t="s">
        <v>210</v>
      </c>
      <c r="C54" s="2" t="s">
        <v>211</v>
      </c>
      <c r="D54" s="7">
        <v>7596</v>
      </c>
      <c r="E54" s="2">
        <v>18000</v>
      </c>
      <c r="F54" t="s">
        <v>223</v>
      </c>
      <c r="G54" s="15">
        <v>2.14</v>
      </c>
      <c r="H54" s="2" t="s">
        <v>29</v>
      </c>
      <c r="I54" s="2" t="s">
        <v>186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6">
        <f t="shared" si="2"/>
        <v>1</v>
      </c>
    </row>
    <row r="55" spans="1:26">
      <c r="A55" s="2" t="s">
        <v>212</v>
      </c>
      <c r="B55" s="2" t="s">
        <v>210</v>
      </c>
      <c r="C55" s="2" t="s">
        <v>213</v>
      </c>
      <c r="D55" s="2">
        <v>23579</v>
      </c>
      <c r="E55" s="2"/>
      <c r="F55" t="s">
        <v>223</v>
      </c>
      <c r="G55" s="15">
        <v>2.14</v>
      </c>
      <c r="H55" s="2" t="s">
        <v>29</v>
      </c>
      <c r="I55" s="2" t="s">
        <v>186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6">
        <f t="shared" si="2"/>
        <v>1</v>
      </c>
    </row>
    <row r="56" spans="1:26">
      <c r="A56" s="2" t="s">
        <v>214</v>
      </c>
      <c r="B56" s="2" t="s">
        <v>162</v>
      </c>
      <c r="C56" s="2" t="s">
        <v>215</v>
      </c>
      <c r="D56" s="2">
        <v>65.36</v>
      </c>
      <c r="E56" s="2" t="s">
        <v>223</v>
      </c>
      <c r="F56" t="s">
        <v>253</v>
      </c>
      <c r="G56" s="15">
        <v>2</v>
      </c>
      <c r="H56" s="2" t="s">
        <v>29</v>
      </c>
      <c r="I56" s="2" t="s">
        <v>68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6">
        <f t="shared" si="2"/>
        <v>1</v>
      </c>
    </row>
    <row r="57" spans="1:26">
      <c r="A57" s="2" t="s">
        <v>262</v>
      </c>
      <c r="B57" s="2" t="s">
        <v>263</v>
      </c>
      <c r="C57" s="2" t="s">
        <v>240</v>
      </c>
      <c r="D57" s="2" t="s">
        <v>223</v>
      </c>
      <c r="E57" s="2">
        <v>0</v>
      </c>
      <c r="F57" t="s">
        <v>245</v>
      </c>
      <c r="G57" s="15">
        <v>1.65</v>
      </c>
      <c r="H57" s="2" t="s">
        <v>29</v>
      </c>
      <c r="I57" s="2" t="s">
        <v>113</v>
      </c>
      <c r="J57" s="2" t="s">
        <v>127</v>
      </c>
      <c r="K57" s="2" t="s">
        <v>128</v>
      </c>
      <c r="Z57" s="6">
        <f>COUNTA(I57:Y57)</f>
        <v>3</v>
      </c>
    </row>
    <row r="58" spans="1:26">
      <c r="A58" s="2" t="s">
        <v>279</v>
      </c>
      <c r="B58" s="2" t="s">
        <v>263</v>
      </c>
      <c r="C58" s="2" t="s">
        <v>280</v>
      </c>
      <c r="D58" s="10">
        <v>13757</v>
      </c>
      <c r="E58" s="2" t="s">
        <v>223</v>
      </c>
      <c r="F58" t="s">
        <v>226</v>
      </c>
      <c r="G58" s="15">
        <v>1.38</v>
      </c>
      <c r="H58" s="2" t="s">
        <v>29</v>
      </c>
      <c r="I58" s="2" t="s">
        <v>186</v>
      </c>
      <c r="J58" s="2" t="s">
        <v>127</v>
      </c>
      <c r="K58" s="2" t="s">
        <v>128</v>
      </c>
      <c r="L58" s="2" t="s">
        <v>288</v>
      </c>
      <c r="M58" s="2" t="s">
        <v>204</v>
      </c>
      <c r="N58" s="2" t="s">
        <v>90</v>
      </c>
      <c r="Z58" s="6">
        <f>COUNTA(I58:Y58)</f>
        <v>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4"/>
  <sheetViews>
    <sheetView tabSelected="1" zoomScale="48" zoomScaleNormal="68" workbookViewId="0">
      <selection activeCell="J6" sqref="J6"/>
    </sheetView>
  </sheetViews>
  <sheetFormatPr defaultColWidth="9" defaultRowHeight="14.5"/>
  <cols>
    <col min="1" max="1" width="32.453125" customWidth="1"/>
    <col min="2" max="2" width="44.08984375" customWidth="1"/>
    <col min="3" max="4" width="20.90625" customWidth="1"/>
    <col min="5" max="5" width="20.81640625" customWidth="1"/>
    <col min="6" max="7" width="18.1796875" customWidth="1"/>
    <col min="8" max="8" width="20.08984375" customWidth="1"/>
    <col min="9" max="9" width="18.90625" customWidth="1"/>
    <col min="10" max="11" width="21.7265625" customWidth="1"/>
    <col min="12" max="12" width="13.1796875" customWidth="1"/>
    <col min="14" max="14" width="18" customWidth="1"/>
    <col min="15" max="15" width="19.08984375" customWidth="1"/>
    <col min="16" max="16" width="30.81640625" customWidth="1"/>
  </cols>
  <sheetData>
    <row r="1" spans="1:13">
      <c r="A1" t="s">
        <v>0</v>
      </c>
      <c r="B1" t="s">
        <v>1</v>
      </c>
      <c r="C1" t="s">
        <v>2</v>
      </c>
      <c r="D1" t="s">
        <v>237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  <c r="J1" t="s">
        <v>221</v>
      </c>
      <c r="K1" t="s">
        <v>229</v>
      </c>
      <c r="L1" t="s">
        <v>222</v>
      </c>
      <c r="M1" s="1"/>
    </row>
    <row r="2" spans="1:13">
      <c r="A2" s="2" t="s">
        <v>103</v>
      </c>
      <c r="B2" s="2" t="s">
        <v>88</v>
      </c>
      <c r="C2" s="2" t="s">
        <v>104</v>
      </c>
      <c r="D2" s="2"/>
      <c r="I2" t="s">
        <v>223</v>
      </c>
      <c r="J2" t="s">
        <v>227</v>
      </c>
      <c r="K2" s="4">
        <v>44835</v>
      </c>
      <c r="L2" s="3">
        <v>43709</v>
      </c>
    </row>
    <row r="3" spans="1:13">
      <c r="A3" s="2" t="s">
        <v>187</v>
      </c>
      <c r="B3" s="2" t="s">
        <v>188</v>
      </c>
      <c r="C3" s="2" t="s">
        <v>189</v>
      </c>
      <c r="D3" s="2"/>
      <c r="H3">
        <v>83.52</v>
      </c>
      <c r="I3" t="s">
        <v>223</v>
      </c>
      <c r="J3" t="s">
        <v>227</v>
      </c>
      <c r="K3" s="4">
        <v>44835</v>
      </c>
      <c r="L3" s="4">
        <v>43760</v>
      </c>
    </row>
    <row r="4" spans="1:13">
      <c r="A4" s="2" t="s">
        <v>187</v>
      </c>
      <c r="B4" s="2" t="s">
        <v>188</v>
      </c>
      <c r="C4" s="2" t="s">
        <v>189</v>
      </c>
      <c r="D4" s="2"/>
      <c r="H4">
        <v>92.37</v>
      </c>
      <c r="I4" t="s">
        <v>223</v>
      </c>
      <c r="J4" t="s">
        <v>224</v>
      </c>
      <c r="K4" s="4">
        <v>44835</v>
      </c>
      <c r="L4" s="3">
        <v>44121</v>
      </c>
    </row>
    <row r="5" spans="1:13">
      <c r="A5" s="2" t="s">
        <v>207</v>
      </c>
      <c r="B5" s="2" t="s">
        <v>88</v>
      </c>
      <c r="C5" s="2" t="s">
        <v>208</v>
      </c>
      <c r="D5" s="2"/>
      <c r="I5" t="s">
        <v>223</v>
      </c>
      <c r="J5" t="s">
        <v>224</v>
      </c>
      <c r="K5" s="4">
        <v>43800</v>
      </c>
    </row>
    <row r="6" spans="1:13">
      <c r="A6" s="2" t="s">
        <v>207</v>
      </c>
      <c r="B6" s="2" t="s">
        <v>88</v>
      </c>
      <c r="C6" s="2" t="s">
        <v>208</v>
      </c>
      <c r="D6" s="2"/>
      <c r="I6" t="s">
        <v>223</v>
      </c>
      <c r="J6" t="s">
        <v>224</v>
      </c>
      <c r="K6" s="4">
        <v>43800</v>
      </c>
      <c r="L6" s="3">
        <v>43746</v>
      </c>
    </row>
    <row r="7" spans="1:13">
      <c r="A7" s="2" t="s">
        <v>109</v>
      </c>
      <c r="B7" s="2" t="s">
        <v>88</v>
      </c>
      <c r="C7" s="2" t="s">
        <v>110</v>
      </c>
      <c r="D7" s="2"/>
      <c r="H7">
        <v>92.68</v>
      </c>
      <c r="I7" t="s">
        <v>223</v>
      </c>
      <c r="J7" t="s">
        <v>224</v>
      </c>
      <c r="K7" s="4">
        <v>45261</v>
      </c>
      <c r="L7" s="3">
        <v>43657</v>
      </c>
    </row>
    <row r="8" spans="1:13">
      <c r="A8" s="2" t="s">
        <v>109</v>
      </c>
      <c r="B8" s="2" t="s">
        <v>88</v>
      </c>
      <c r="C8" s="2" t="s">
        <v>110</v>
      </c>
      <c r="D8" s="2"/>
      <c r="H8">
        <v>95.36</v>
      </c>
      <c r="I8" t="s">
        <v>223</v>
      </c>
      <c r="J8" t="s">
        <v>224</v>
      </c>
      <c r="K8" s="4">
        <v>45261</v>
      </c>
      <c r="L8" s="3">
        <v>44358</v>
      </c>
    </row>
    <row r="9" spans="1:13">
      <c r="A9" s="2" t="s">
        <v>205</v>
      </c>
      <c r="B9" s="2" t="s">
        <v>141</v>
      </c>
      <c r="C9" s="2" t="s">
        <v>206</v>
      </c>
      <c r="D9" s="2"/>
      <c r="H9" s="9">
        <v>1</v>
      </c>
      <c r="I9" t="s">
        <v>223</v>
      </c>
      <c r="J9" t="s">
        <v>224</v>
      </c>
      <c r="K9" s="4">
        <v>45536</v>
      </c>
      <c r="L9">
        <v>2019</v>
      </c>
    </row>
    <row r="10" spans="1:13">
      <c r="A10" s="2" t="s">
        <v>205</v>
      </c>
      <c r="B10" s="2" t="s">
        <v>141</v>
      </c>
      <c r="C10" s="2" t="s">
        <v>206</v>
      </c>
      <c r="D10" s="2"/>
      <c r="H10" s="9">
        <v>1</v>
      </c>
      <c r="I10" t="s">
        <v>223</v>
      </c>
      <c r="J10" t="s">
        <v>228</v>
      </c>
      <c r="K10" s="4">
        <v>45323</v>
      </c>
      <c r="L10">
        <v>2021</v>
      </c>
    </row>
    <row r="11" spans="1:13">
      <c r="A11" s="2" t="s">
        <v>99</v>
      </c>
      <c r="B11" s="2" t="s">
        <v>88</v>
      </c>
      <c r="C11" s="2" t="s">
        <v>100</v>
      </c>
      <c r="D11" s="7" t="s">
        <v>268</v>
      </c>
      <c r="G11">
        <v>0</v>
      </c>
      <c r="H11">
        <v>90.22</v>
      </c>
      <c r="I11" t="s">
        <v>223</v>
      </c>
      <c r="J11" t="s">
        <v>228</v>
      </c>
      <c r="K11" s="4">
        <v>44470</v>
      </c>
      <c r="L11" s="3">
        <v>43165</v>
      </c>
    </row>
    <row r="12" spans="1:13">
      <c r="A12" s="2" t="s">
        <v>99</v>
      </c>
      <c r="B12" s="2" t="s">
        <v>88</v>
      </c>
      <c r="C12" s="2" t="s">
        <v>100</v>
      </c>
      <c r="D12" s="10" t="s">
        <v>268</v>
      </c>
      <c r="G12">
        <v>0</v>
      </c>
      <c r="H12" s="9">
        <v>0.95</v>
      </c>
      <c r="J12" t="s">
        <v>269</v>
      </c>
      <c r="K12" s="4">
        <v>44470</v>
      </c>
      <c r="L12" s="3">
        <v>44470</v>
      </c>
    </row>
    <row r="13" spans="1:13">
      <c r="A13" s="2" t="s">
        <v>157</v>
      </c>
      <c r="B13" s="2" t="s">
        <v>151</v>
      </c>
      <c r="C13" s="2" t="s">
        <v>158</v>
      </c>
      <c r="D13" s="2"/>
      <c r="H13">
        <v>100</v>
      </c>
      <c r="J13" t="s">
        <v>223</v>
      </c>
      <c r="K13" s="4">
        <v>46204</v>
      </c>
      <c r="L13" s="4">
        <v>45870</v>
      </c>
    </row>
    <row r="14" spans="1:13">
      <c r="A14" s="2" t="s">
        <v>87</v>
      </c>
      <c r="B14" s="2" t="s">
        <v>88</v>
      </c>
      <c r="C14" s="2" t="s">
        <v>89</v>
      </c>
      <c r="D14" s="2"/>
      <c r="E14" s="9">
        <v>0.98</v>
      </c>
      <c r="H14">
        <v>100</v>
      </c>
      <c r="J14" t="s">
        <v>226</v>
      </c>
      <c r="K14" s="4">
        <v>42917</v>
      </c>
      <c r="L14">
        <v>2016</v>
      </c>
    </row>
    <row r="15" spans="1:13">
      <c r="A15" s="2" t="s">
        <v>144</v>
      </c>
      <c r="B15" s="2" t="s">
        <v>141</v>
      </c>
      <c r="C15" s="2" t="s">
        <v>145</v>
      </c>
      <c r="D15" s="2"/>
      <c r="E15" s="2" t="s">
        <v>230</v>
      </c>
      <c r="G15">
        <v>100</v>
      </c>
      <c r="J15" t="s">
        <v>227</v>
      </c>
    </row>
    <row r="16" spans="1:13">
      <c r="A16" s="2" t="s">
        <v>144</v>
      </c>
      <c r="B16" s="2" t="s">
        <v>141</v>
      </c>
      <c r="C16" s="2" t="s">
        <v>145</v>
      </c>
      <c r="D16" s="2"/>
      <c r="G16">
        <v>0</v>
      </c>
      <c r="J16" t="s">
        <v>227</v>
      </c>
    </row>
    <row r="17" spans="1:12">
      <c r="A17" s="2" t="s">
        <v>120</v>
      </c>
      <c r="B17" s="2" t="s">
        <v>116</v>
      </c>
      <c r="C17" s="2" t="s">
        <v>121</v>
      </c>
      <c r="D17" s="2"/>
      <c r="H17">
        <v>90</v>
      </c>
      <c r="J17" t="s">
        <v>223</v>
      </c>
      <c r="K17" s="4">
        <v>46661</v>
      </c>
      <c r="L17">
        <v>2024</v>
      </c>
    </row>
    <row r="18" spans="1:12">
      <c r="A18" s="2" t="s">
        <v>58</v>
      </c>
      <c r="B18" s="2" t="s">
        <v>27</v>
      </c>
      <c r="C18" s="2" t="s">
        <v>59</v>
      </c>
      <c r="D18" s="2"/>
      <c r="E18" s="2" t="s">
        <v>232</v>
      </c>
      <c r="H18">
        <v>0</v>
      </c>
      <c r="I18" t="s">
        <v>223</v>
      </c>
      <c r="J18" t="s">
        <v>233</v>
      </c>
      <c r="L18">
        <v>2015</v>
      </c>
    </row>
    <row r="19" spans="1:12">
      <c r="A19" s="2" t="s">
        <v>58</v>
      </c>
      <c r="B19" s="2" t="s">
        <v>27</v>
      </c>
      <c r="C19" s="2" t="s">
        <v>59</v>
      </c>
      <c r="D19" s="2"/>
      <c r="H19">
        <v>74.5</v>
      </c>
      <c r="J19" t="s">
        <v>233</v>
      </c>
    </row>
    <row r="20" spans="1:12">
      <c r="A20" s="2" t="s">
        <v>155</v>
      </c>
      <c r="B20" s="2" t="s">
        <v>141</v>
      </c>
      <c r="C20" s="2" t="s">
        <v>156</v>
      </c>
      <c r="D20" s="2" t="s">
        <v>238</v>
      </c>
      <c r="H20" s="9">
        <v>1</v>
      </c>
      <c r="J20" t="s">
        <v>223</v>
      </c>
    </row>
    <row r="21" spans="1:12">
      <c r="A21" s="2" t="s">
        <v>111</v>
      </c>
      <c r="B21" s="2" t="s">
        <v>88</v>
      </c>
      <c r="C21" s="2" t="s">
        <v>112</v>
      </c>
      <c r="D21" s="2"/>
      <c r="E21" s="10" t="s">
        <v>236</v>
      </c>
      <c r="G21" s="2" t="s">
        <v>235</v>
      </c>
      <c r="H21">
        <v>0</v>
      </c>
      <c r="J21" t="s">
        <v>224</v>
      </c>
      <c r="K21" s="4">
        <v>42767</v>
      </c>
      <c r="L21">
        <v>2015</v>
      </c>
    </row>
    <row r="22" spans="1:12">
      <c r="A22" s="2" t="s">
        <v>111</v>
      </c>
      <c r="B22" s="2" t="s">
        <v>88</v>
      </c>
      <c r="C22" s="2" t="s">
        <v>112</v>
      </c>
      <c r="D22" s="2"/>
      <c r="G22" s="2" t="s">
        <v>235</v>
      </c>
      <c r="H22" s="9">
        <v>1</v>
      </c>
      <c r="J22" t="s">
        <v>224</v>
      </c>
      <c r="K22" s="4">
        <v>42856</v>
      </c>
    </row>
    <row r="23" spans="1:12">
      <c r="A23" s="2" t="s">
        <v>214</v>
      </c>
      <c r="B23" s="2" t="s">
        <v>162</v>
      </c>
      <c r="C23" s="2" t="s">
        <v>215</v>
      </c>
      <c r="D23" s="11" t="s">
        <v>239</v>
      </c>
      <c r="E23" s="2" t="s">
        <v>225</v>
      </c>
      <c r="G23" s="2" t="s">
        <v>225</v>
      </c>
      <c r="H23" s="9">
        <v>0</v>
      </c>
      <c r="J23" t="s">
        <v>227</v>
      </c>
      <c r="K23" s="4">
        <v>43525</v>
      </c>
    </row>
    <row r="24" spans="1:12">
      <c r="A24" s="2" t="s">
        <v>214</v>
      </c>
      <c r="B24" s="2" t="s">
        <v>162</v>
      </c>
      <c r="C24" s="2" t="s">
        <v>240</v>
      </c>
      <c r="D24" s="11" t="s">
        <v>239</v>
      </c>
      <c r="E24" s="2" t="s">
        <v>241</v>
      </c>
      <c r="G24" s="2" t="s">
        <v>225</v>
      </c>
      <c r="J24" t="s">
        <v>227</v>
      </c>
      <c r="K24" s="4">
        <v>43556</v>
      </c>
    </row>
    <row r="25" spans="1:12">
      <c r="A25" s="2" t="s">
        <v>214</v>
      </c>
      <c r="B25" s="2" t="s">
        <v>162</v>
      </c>
      <c r="C25" s="2" t="s">
        <v>240</v>
      </c>
      <c r="D25" s="11" t="s">
        <v>239</v>
      </c>
      <c r="E25" s="2" t="s">
        <v>241</v>
      </c>
      <c r="G25" s="2" t="s">
        <v>225</v>
      </c>
      <c r="J25" t="s">
        <v>227</v>
      </c>
      <c r="K25" s="4">
        <v>43586</v>
      </c>
    </row>
    <row r="26" spans="1:12">
      <c r="A26" s="2" t="s">
        <v>153</v>
      </c>
      <c r="B26" s="2" t="s">
        <v>141</v>
      </c>
      <c r="C26" s="2" t="s">
        <v>154</v>
      </c>
      <c r="D26">
        <v>18.29</v>
      </c>
      <c r="E26" s="2" t="s">
        <v>223</v>
      </c>
      <c r="J26" t="s">
        <v>234</v>
      </c>
      <c r="K26" s="4">
        <v>45352</v>
      </c>
    </row>
    <row r="27" spans="1:12">
      <c r="A27" s="2" t="s">
        <v>153</v>
      </c>
      <c r="B27" s="2" t="s">
        <v>141</v>
      </c>
      <c r="C27" s="2" t="s">
        <v>154</v>
      </c>
      <c r="D27">
        <v>18.29</v>
      </c>
      <c r="E27" s="2" t="s">
        <v>223</v>
      </c>
      <c r="J27" t="s">
        <v>234</v>
      </c>
      <c r="K27" s="4">
        <v>45352</v>
      </c>
    </row>
    <row r="28" spans="1:12">
      <c r="A28" s="2" t="s">
        <v>209</v>
      </c>
      <c r="B28" s="2" t="s">
        <v>210</v>
      </c>
      <c r="C28" s="2" t="s">
        <v>211</v>
      </c>
      <c r="D28" s="11" t="s">
        <v>242</v>
      </c>
      <c r="G28" s="10">
        <v>2683</v>
      </c>
      <c r="J28" t="s">
        <v>223</v>
      </c>
      <c r="K28" t="s">
        <v>223</v>
      </c>
      <c r="L28" t="s">
        <v>223</v>
      </c>
    </row>
    <row r="29" spans="1:12">
      <c r="A29" s="2" t="s">
        <v>159</v>
      </c>
      <c r="B29" s="2" t="s">
        <v>151</v>
      </c>
      <c r="C29" s="2" t="s">
        <v>160</v>
      </c>
      <c r="D29" s="11" t="s">
        <v>243</v>
      </c>
      <c r="E29" s="2" t="s">
        <v>244</v>
      </c>
      <c r="G29">
        <v>0</v>
      </c>
      <c r="J29" t="s">
        <v>223</v>
      </c>
    </row>
    <row r="30" spans="1:12">
      <c r="A30" s="2" t="s">
        <v>54</v>
      </c>
      <c r="B30" s="2" t="s">
        <v>51</v>
      </c>
      <c r="C30" s="2" t="s">
        <v>55</v>
      </c>
      <c r="D30" s="11" t="s">
        <v>246</v>
      </c>
      <c r="G30">
        <v>0</v>
      </c>
      <c r="J30" t="s">
        <v>248</v>
      </c>
      <c r="K30" t="s">
        <v>223</v>
      </c>
      <c r="L30">
        <v>2007</v>
      </c>
    </row>
    <row r="31" spans="1:12">
      <c r="A31" s="2" t="s">
        <v>54</v>
      </c>
      <c r="B31" s="2" t="s">
        <v>51</v>
      </c>
      <c r="C31" s="2" t="s">
        <v>55</v>
      </c>
      <c r="D31" s="11" t="s">
        <v>247</v>
      </c>
      <c r="G31">
        <v>0</v>
      </c>
      <c r="J31" t="s">
        <v>248</v>
      </c>
      <c r="K31" s="4">
        <v>45261</v>
      </c>
      <c r="L31">
        <v>2010</v>
      </c>
    </row>
    <row r="32" spans="1:12">
      <c r="A32" s="2" t="s">
        <v>54</v>
      </c>
      <c r="B32" s="2" t="s">
        <v>51</v>
      </c>
      <c r="C32" s="2" t="s">
        <v>55</v>
      </c>
      <c r="D32" s="11" t="s">
        <v>247</v>
      </c>
      <c r="G32">
        <v>0</v>
      </c>
      <c r="J32" t="s">
        <v>248</v>
      </c>
      <c r="K32" s="4"/>
      <c r="L32">
        <v>2021</v>
      </c>
    </row>
    <row r="33" spans="1:12">
      <c r="A33" s="2" t="s">
        <v>50</v>
      </c>
      <c r="B33" s="2" t="s">
        <v>51</v>
      </c>
      <c r="C33" s="2" t="s">
        <v>52</v>
      </c>
      <c r="D33" s="11" t="s">
        <v>249</v>
      </c>
      <c r="G33">
        <v>4</v>
      </c>
      <c r="H33">
        <v>82</v>
      </c>
      <c r="J33" t="s">
        <v>248</v>
      </c>
      <c r="K33" t="s">
        <v>223</v>
      </c>
      <c r="L33">
        <v>2014</v>
      </c>
    </row>
    <row r="34" spans="1:12">
      <c r="A34" s="2" t="s">
        <v>50</v>
      </c>
      <c r="B34" s="2" t="s">
        <v>51</v>
      </c>
      <c r="C34" s="2" t="s">
        <v>52</v>
      </c>
      <c r="D34" s="11" t="s">
        <v>249</v>
      </c>
      <c r="G34">
        <v>4</v>
      </c>
      <c r="H34">
        <v>82</v>
      </c>
      <c r="J34" t="s">
        <v>248</v>
      </c>
      <c r="K34" t="s">
        <v>223</v>
      </c>
      <c r="L34">
        <v>2021</v>
      </c>
    </row>
    <row r="35" spans="1:12">
      <c r="A35" s="2" t="s">
        <v>161</v>
      </c>
      <c r="B35" s="2" t="s">
        <v>162</v>
      </c>
      <c r="C35" s="2" t="s">
        <v>163</v>
      </c>
      <c r="D35" s="11" t="s">
        <v>250</v>
      </c>
      <c r="E35" s="2" t="s">
        <v>223</v>
      </c>
      <c r="G35">
        <v>0</v>
      </c>
      <c r="H35" s="9">
        <v>1</v>
      </c>
      <c r="J35" t="s">
        <v>224</v>
      </c>
      <c r="K35">
        <v>2024</v>
      </c>
      <c r="L35">
        <v>2019</v>
      </c>
    </row>
    <row r="36" spans="1:12">
      <c r="A36" s="2" t="s">
        <v>161</v>
      </c>
      <c r="B36" s="2" t="s">
        <v>162</v>
      </c>
      <c r="C36" s="2" t="s">
        <v>163</v>
      </c>
      <c r="D36" s="11" t="s">
        <v>250</v>
      </c>
      <c r="E36" s="2" t="s">
        <v>223</v>
      </c>
      <c r="G36">
        <v>0</v>
      </c>
      <c r="H36" s="9">
        <v>1</v>
      </c>
      <c r="J36" t="s">
        <v>224</v>
      </c>
      <c r="K36">
        <v>2026</v>
      </c>
      <c r="L36">
        <v>2024</v>
      </c>
    </row>
    <row r="37" spans="1:12">
      <c r="A37" s="2" t="s">
        <v>164</v>
      </c>
      <c r="B37" s="2" t="s">
        <v>162</v>
      </c>
      <c r="C37" s="2" t="s">
        <v>165</v>
      </c>
      <c r="D37" s="11" t="s">
        <v>250</v>
      </c>
      <c r="E37" s="2" t="s">
        <v>223</v>
      </c>
      <c r="G37">
        <v>0</v>
      </c>
      <c r="H37" s="9">
        <v>1</v>
      </c>
      <c r="J37" t="s">
        <v>224</v>
      </c>
      <c r="K37">
        <v>2024</v>
      </c>
      <c r="L37">
        <v>2026</v>
      </c>
    </row>
    <row r="38" spans="1:12">
      <c r="A38" s="2" t="s">
        <v>164</v>
      </c>
      <c r="B38" s="2" t="s">
        <v>162</v>
      </c>
      <c r="C38" s="2" t="s">
        <v>165</v>
      </c>
      <c r="D38" s="11" t="s">
        <v>250</v>
      </c>
      <c r="E38" s="2" t="s">
        <v>223</v>
      </c>
      <c r="G38">
        <v>0</v>
      </c>
      <c r="H38" s="9">
        <v>1</v>
      </c>
      <c r="J38" t="s">
        <v>224</v>
      </c>
      <c r="K38">
        <v>2026</v>
      </c>
      <c r="L38">
        <v>2027</v>
      </c>
    </row>
    <row r="39" spans="1:12">
      <c r="A39" s="2" t="s">
        <v>140</v>
      </c>
      <c r="B39" s="2" t="s">
        <v>141</v>
      </c>
      <c r="C39" s="2" t="s">
        <v>142</v>
      </c>
      <c r="D39" s="11" t="s">
        <v>251</v>
      </c>
      <c r="J39" t="s">
        <v>227</v>
      </c>
      <c r="K39">
        <v>2021</v>
      </c>
      <c r="L39">
        <v>2021</v>
      </c>
    </row>
    <row r="40" spans="1:12">
      <c r="A40" s="2" t="s">
        <v>140</v>
      </c>
      <c r="B40" s="2" t="s">
        <v>141</v>
      </c>
      <c r="C40" s="2" t="s">
        <v>142</v>
      </c>
      <c r="D40" s="11" t="s">
        <v>252</v>
      </c>
      <c r="J40" t="s">
        <v>223</v>
      </c>
      <c r="K40" t="s">
        <v>223</v>
      </c>
      <c r="L40">
        <v>2024</v>
      </c>
    </row>
    <row r="41" spans="1:12">
      <c r="A41" s="2" t="s">
        <v>41</v>
      </c>
      <c r="B41" s="2" t="s">
        <v>42</v>
      </c>
      <c r="C41" s="2" t="s">
        <v>43</v>
      </c>
      <c r="D41" s="2" t="s">
        <v>254</v>
      </c>
      <c r="E41" s="2" t="s">
        <v>223</v>
      </c>
      <c r="G41">
        <v>0</v>
      </c>
      <c r="H41" s="12">
        <v>1</v>
      </c>
      <c r="J41" t="s">
        <v>255</v>
      </c>
      <c r="K41">
        <v>2009</v>
      </c>
      <c r="L41">
        <v>2009</v>
      </c>
    </row>
    <row r="42" spans="1:12">
      <c r="A42" s="2" t="s">
        <v>41</v>
      </c>
      <c r="B42" s="2" t="s">
        <v>42</v>
      </c>
      <c r="C42" s="2" t="s">
        <v>43</v>
      </c>
      <c r="D42" s="2" t="s">
        <v>254</v>
      </c>
      <c r="G42">
        <v>0</v>
      </c>
      <c r="J42" t="s">
        <v>233</v>
      </c>
      <c r="K42">
        <v>2009</v>
      </c>
      <c r="L42">
        <v>2015</v>
      </c>
    </row>
    <row r="43" spans="1:12">
      <c r="A43" s="2" t="s">
        <v>173</v>
      </c>
      <c r="B43" s="2" t="s">
        <v>174</v>
      </c>
      <c r="C43" s="2" t="s">
        <v>175</v>
      </c>
      <c r="D43" s="11" t="s">
        <v>256</v>
      </c>
      <c r="E43" s="2" t="s">
        <v>223</v>
      </c>
      <c r="G43">
        <v>1</v>
      </c>
      <c r="J43" t="s">
        <v>223</v>
      </c>
      <c r="K43" t="s">
        <v>223</v>
      </c>
      <c r="L43">
        <v>2006</v>
      </c>
    </row>
    <row r="44" spans="1:12" ht="29">
      <c r="A44" s="5" t="s">
        <v>173</v>
      </c>
      <c r="B44" s="5" t="s">
        <v>174</v>
      </c>
      <c r="C44" s="2" t="s">
        <v>175</v>
      </c>
      <c r="D44" s="11" t="s">
        <v>257</v>
      </c>
      <c r="E44" t="s">
        <v>223</v>
      </c>
      <c r="G44">
        <v>1</v>
      </c>
      <c r="J44" t="s">
        <v>223</v>
      </c>
      <c r="K44" t="s">
        <v>223</v>
      </c>
      <c r="L44">
        <v>2010</v>
      </c>
    </row>
    <row r="45" spans="1:12">
      <c r="A45" s="2" t="s">
        <v>83</v>
      </c>
      <c r="B45" s="2" t="s">
        <v>42</v>
      </c>
      <c r="C45" s="2" t="s">
        <v>84</v>
      </c>
      <c r="D45" s="11" t="s">
        <v>259</v>
      </c>
      <c r="E45" s="2" t="s">
        <v>223</v>
      </c>
      <c r="G45">
        <v>0</v>
      </c>
      <c r="H45" s="9">
        <v>1</v>
      </c>
      <c r="J45" t="s">
        <v>223</v>
      </c>
      <c r="K45" s="4">
        <v>47908</v>
      </c>
      <c r="L45">
        <v>2021</v>
      </c>
    </row>
    <row r="46" spans="1:12">
      <c r="A46" s="2" t="s">
        <v>83</v>
      </c>
      <c r="B46" s="2" t="s">
        <v>42</v>
      </c>
      <c r="C46" s="2" t="s">
        <v>84</v>
      </c>
      <c r="D46" s="11" t="s">
        <v>259</v>
      </c>
      <c r="E46" s="2" t="s">
        <v>223</v>
      </c>
      <c r="G46">
        <v>0</v>
      </c>
      <c r="H46" s="9">
        <v>1</v>
      </c>
      <c r="J46" t="s">
        <v>223</v>
      </c>
      <c r="K46" s="4">
        <v>47908</v>
      </c>
      <c r="L46">
        <v>2024</v>
      </c>
    </row>
    <row r="47" spans="1:12">
      <c r="A47" s="2" t="s">
        <v>129</v>
      </c>
      <c r="B47" s="2" t="s">
        <v>123</v>
      </c>
      <c r="C47" s="2" t="s">
        <v>130</v>
      </c>
      <c r="D47" s="11" t="s">
        <v>261</v>
      </c>
      <c r="J47" t="s">
        <v>224</v>
      </c>
      <c r="K47">
        <v>2019</v>
      </c>
      <c r="L47">
        <v>2019</v>
      </c>
    </row>
    <row r="48" spans="1:12">
      <c r="A48" s="2" t="s">
        <v>129</v>
      </c>
      <c r="B48" s="2" t="s">
        <v>123</v>
      </c>
      <c r="C48" s="2" t="s">
        <v>130</v>
      </c>
      <c r="D48" s="11" t="s">
        <v>261</v>
      </c>
      <c r="J48" t="s">
        <v>224</v>
      </c>
      <c r="K48">
        <v>2019</v>
      </c>
      <c r="L48">
        <v>2020</v>
      </c>
    </row>
    <row r="49" spans="1:12">
      <c r="A49" s="2" t="s">
        <v>129</v>
      </c>
      <c r="B49" s="2" t="s">
        <v>123</v>
      </c>
      <c r="C49" s="2" t="s">
        <v>130</v>
      </c>
      <c r="D49" s="11" t="s">
        <v>261</v>
      </c>
      <c r="J49" t="s">
        <v>228</v>
      </c>
      <c r="K49" s="4">
        <v>44958</v>
      </c>
      <c r="L49">
        <v>2023</v>
      </c>
    </row>
    <row r="50" spans="1:12">
      <c r="A50" s="2" t="s">
        <v>262</v>
      </c>
      <c r="B50" s="2" t="s">
        <v>263</v>
      </c>
      <c r="C50" s="2" t="s">
        <v>240</v>
      </c>
      <c r="D50" s="11" t="s">
        <v>264</v>
      </c>
      <c r="E50" s="2" t="s">
        <v>223</v>
      </c>
      <c r="H50">
        <v>0</v>
      </c>
      <c r="J50" t="s">
        <v>228</v>
      </c>
      <c r="K50" s="4">
        <v>44958</v>
      </c>
      <c r="L50">
        <v>2023</v>
      </c>
    </row>
    <row r="51" spans="1:12">
      <c r="A51" s="2" t="s">
        <v>262</v>
      </c>
      <c r="B51" s="2" t="s">
        <v>263</v>
      </c>
      <c r="C51" s="2" t="s">
        <v>240</v>
      </c>
      <c r="D51" s="11" t="s">
        <v>265</v>
      </c>
      <c r="E51" s="2" t="s">
        <v>223</v>
      </c>
      <c r="H51">
        <v>0</v>
      </c>
      <c r="J51" t="s">
        <v>223</v>
      </c>
    </row>
    <row r="52" spans="1:12">
      <c r="A52" s="2" t="s">
        <v>148</v>
      </c>
      <c r="B52" s="2" t="s">
        <v>141</v>
      </c>
      <c r="C52" s="2" t="s">
        <v>149</v>
      </c>
      <c r="D52" s="11" t="s">
        <v>223</v>
      </c>
      <c r="E52" s="2" t="s">
        <v>266</v>
      </c>
      <c r="H52">
        <v>1</v>
      </c>
      <c r="J52" t="s">
        <v>223</v>
      </c>
      <c r="K52" t="s">
        <v>223</v>
      </c>
      <c r="L52">
        <v>2017</v>
      </c>
    </row>
    <row r="53" spans="1:12">
      <c r="A53" s="2" t="s">
        <v>148</v>
      </c>
      <c r="B53" s="2" t="s">
        <v>141</v>
      </c>
      <c r="C53" s="2" t="s">
        <v>149</v>
      </c>
      <c r="D53" s="11" t="s">
        <v>223</v>
      </c>
      <c r="J53" t="s">
        <v>267</v>
      </c>
      <c r="K53" s="13">
        <v>46037</v>
      </c>
      <c r="L53">
        <v>2024</v>
      </c>
    </row>
    <row r="54" spans="1:12">
      <c r="A54" s="2" t="s">
        <v>63</v>
      </c>
      <c r="B54" s="2" t="s">
        <v>39</v>
      </c>
      <c r="C54" s="2" t="s">
        <v>64</v>
      </c>
      <c r="D54" s="11" t="s">
        <v>270</v>
      </c>
      <c r="J54" t="s">
        <v>223</v>
      </c>
    </row>
    <row r="55" spans="1:12">
      <c r="A55" s="2" t="s">
        <v>63</v>
      </c>
      <c r="B55" s="2" t="s">
        <v>39</v>
      </c>
      <c r="C55" s="2" t="s">
        <v>64</v>
      </c>
      <c r="D55" s="11" t="s">
        <v>271</v>
      </c>
      <c r="E55" s="2" t="s">
        <v>272</v>
      </c>
      <c r="G55">
        <v>0</v>
      </c>
      <c r="H55" s="9">
        <v>1</v>
      </c>
      <c r="J55" t="s">
        <v>223</v>
      </c>
    </row>
    <row r="56" spans="1:12">
      <c r="A56" s="2" t="s">
        <v>63</v>
      </c>
      <c r="B56" s="2" t="s">
        <v>39</v>
      </c>
      <c r="C56" s="2" t="s">
        <v>64</v>
      </c>
      <c r="D56" s="11" t="s">
        <v>271</v>
      </c>
      <c r="E56" s="2" t="s">
        <v>272</v>
      </c>
      <c r="G56">
        <v>0</v>
      </c>
      <c r="H56" s="9">
        <v>1</v>
      </c>
      <c r="J56" t="s">
        <v>233</v>
      </c>
      <c r="K56" t="s">
        <v>223</v>
      </c>
      <c r="L56" t="s">
        <v>223</v>
      </c>
    </row>
    <row r="57" spans="1:12">
      <c r="A57" s="2" t="s">
        <v>26</v>
      </c>
      <c r="B57" s="2" t="s">
        <v>27</v>
      </c>
      <c r="C57" s="2" t="s">
        <v>28</v>
      </c>
      <c r="D57" s="11" t="s">
        <v>223</v>
      </c>
      <c r="E57" s="2" t="s">
        <v>223</v>
      </c>
      <c r="G57">
        <v>0</v>
      </c>
      <c r="H57" s="9">
        <v>1</v>
      </c>
      <c r="J57" t="s">
        <v>224</v>
      </c>
      <c r="K57">
        <v>2018</v>
      </c>
      <c r="L57">
        <v>2020</v>
      </c>
    </row>
    <row r="58" spans="1:12">
      <c r="A58" s="2" t="s">
        <v>85</v>
      </c>
      <c r="B58" s="2" t="s">
        <v>62</v>
      </c>
      <c r="C58" s="2" t="s">
        <v>86</v>
      </c>
      <c r="D58" s="11" t="s">
        <v>273</v>
      </c>
      <c r="F58">
        <v>0</v>
      </c>
      <c r="G58" t="s">
        <v>223</v>
      </c>
      <c r="J58" t="s">
        <v>223</v>
      </c>
      <c r="K58" t="s">
        <v>223</v>
      </c>
      <c r="L58" t="s">
        <v>223</v>
      </c>
    </row>
    <row r="59" spans="1:12">
      <c r="A59" s="2" t="s">
        <v>85</v>
      </c>
      <c r="B59" s="2" t="s">
        <v>62</v>
      </c>
      <c r="C59" s="2" t="s">
        <v>86</v>
      </c>
      <c r="D59" s="11" t="s">
        <v>274</v>
      </c>
      <c r="E59" s="2"/>
      <c r="G59" s="9"/>
      <c r="J59" t="s">
        <v>223</v>
      </c>
      <c r="K59" t="s">
        <v>223</v>
      </c>
      <c r="L59" t="s">
        <v>223</v>
      </c>
    </row>
    <row r="60" spans="1:12">
      <c r="A60" s="2" t="s">
        <v>85</v>
      </c>
      <c r="B60" s="2" t="s">
        <v>62</v>
      </c>
      <c r="C60" s="2" t="s">
        <v>86</v>
      </c>
      <c r="D60" s="11" t="s">
        <v>275</v>
      </c>
      <c r="E60" s="2" t="s">
        <v>234</v>
      </c>
      <c r="G60" s="9"/>
      <c r="J60" t="s">
        <v>233</v>
      </c>
    </row>
    <row r="61" spans="1:12">
      <c r="A61" s="2" t="s">
        <v>81</v>
      </c>
      <c r="B61" s="2" t="s">
        <v>39</v>
      </c>
      <c r="C61" s="2" t="s">
        <v>82</v>
      </c>
      <c r="D61" s="11" t="s">
        <v>276</v>
      </c>
      <c r="E61" s="2" t="s">
        <v>258</v>
      </c>
      <c r="G61">
        <v>0</v>
      </c>
      <c r="H61" s="9">
        <v>1</v>
      </c>
      <c r="J61" t="s">
        <v>233</v>
      </c>
      <c r="L61">
        <v>2012</v>
      </c>
    </row>
    <row r="62" spans="1:12">
      <c r="A62" s="2" t="s">
        <v>81</v>
      </c>
      <c r="B62" s="2" t="s">
        <v>39</v>
      </c>
      <c r="C62" s="2" t="s">
        <v>82</v>
      </c>
      <c r="D62" s="11" t="s">
        <v>276</v>
      </c>
      <c r="E62" s="2" t="s">
        <v>258</v>
      </c>
      <c r="G62">
        <v>0</v>
      </c>
      <c r="H62" s="9">
        <v>1</v>
      </c>
      <c r="J62" t="s">
        <v>233</v>
      </c>
      <c r="L62">
        <v>2023</v>
      </c>
    </row>
    <row r="63" spans="1:12">
      <c r="A63" s="2" t="s">
        <v>146</v>
      </c>
      <c r="B63" s="2" t="s">
        <v>141</v>
      </c>
      <c r="C63" s="2" t="s">
        <v>147</v>
      </c>
      <c r="D63" s="11" t="s">
        <v>277</v>
      </c>
      <c r="E63" s="2" t="s">
        <v>245</v>
      </c>
      <c r="G63">
        <v>0</v>
      </c>
      <c r="H63" s="14">
        <v>4.0000000000000001E-3</v>
      </c>
      <c r="K63" s="4">
        <v>45231</v>
      </c>
      <c r="L63">
        <v>2023</v>
      </c>
    </row>
    <row r="64" spans="1:12">
      <c r="A64" s="2" t="s">
        <v>146</v>
      </c>
      <c r="B64" s="2" t="s">
        <v>141</v>
      </c>
      <c r="C64" s="2" t="s">
        <v>147</v>
      </c>
      <c r="D64" s="11" t="s">
        <v>278</v>
      </c>
      <c r="E64" s="2" t="s">
        <v>234</v>
      </c>
      <c r="G64">
        <v>0</v>
      </c>
      <c r="H64" s="9">
        <v>0.7</v>
      </c>
      <c r="K64" t="s">
        <v>223</v>
      </c>
      <c r="L64">
        <v>2024</v>
      </c>
    </row>
    <row r="65" spans="1:12">
      <c r="A65" s="2" t="s">
        <v>146</v>
      </c>
      <c r="B65" s="2" t="s">
        <v>141</v>
      </c>
      <c r="C65" s="2" t="s">
        <v>147</v>
      </c>
      <c r="D65" s="11" t="s">
        <v>278</v>
      </c>
      <c r="E65" s="2" t="s">
        <v>234</v>
      </c>
      <c r="G65">
        <v>0</v>
      </c>
      <c r="H65" s="9">
        <v>0.7</v>
      </c>
      <c r="K65" t="s">
        <v>223</v>
      </c>
      <c r="L65">
        <v>2026</v>
      </c>
    </row>
    <row r="66" spans="1:12">
      <c r="A66" s="2" t="s">
        <v>118</v>
      </c>
      <c r="B66" s="2" t="s">
        <v>116</v>
      </c>
      <c r="C66" s="2" t="s">
        <v>119</v>
      </c>
      <c r="D66" t="s">
        <v>275</v>
      </c>
      <c r="G66">
        <v>154</v>
      </c>
      <c r="J66" t="s">
        <v>234</v>
      </c>
      <c r="K66">
        <v>2024</v>
      </c>
      <c r="L66">
        <v>2022</v>
      </c>
    </row>
    <row r="67" spans="1:12">
      <c r="A67" s="2" t="s">
        <v>118</v>
      </c>
      <c r="B67" s="2" t="s">
        <v>116</v>
      </c>
      <c r="C67" s="2" t="s">
        <v>119</v>
      </c>
      <c r="D67" s="11" t="s">
        <v>275</v>
      </c>
      <c r="G67">
        <v>154</v>
      </c>
      <c r="J67" t="s">
        <v>234</v>
      </c>
      <c r="K67">
        <v>2026</v>
      </c>
      <c r="L67">
        <v>2026</v>
      </c>
    </row>
    <row r="68" spans="1:12">
      <c r="A68" s="2" t="s">
        <v>279</v>
      </c>
      <c r="B68" s="2" t="s">
        <v>263</v>
      </c>
      <c r="C68" s="2" t="s">
        <v>280</v>
      </c>
      <c r="D68" s="11" t="s">
        <v>223</v>
      </c>
      <c r="E68" s="2" t="s">
        <v>223</v>
      </c>
      <c r="G68">
        <v>35</v>
      </c>
      <c r="J68" t="s">
        <v>234</v>
      </c>
      <c r="L68">
        <v>2018</v>
      </c>
    </row>
    <row r="69" spans="1:12">
      <c r="A69" s="2" t="s">
        <v>279</v>
      </c>
      <c r="B69" s="2" t="s">
        <v>263</v>
      </c>
      <c r="C69" s="2" t="s">
        <v>280</v>
      </c>
      <c r="D69" s="11" t="s">
        <v>223</v>
      </c>
      <c r="E69" s="2" t="s">
        <v>223</v>
      </c>
      <c r="G69">
        <v>35</v>
      </c>
      <c r="J69" t="s">
        <v>234</v>
      </c>
      <c r="L69">
        <v>2022</v>
      </c>
    </row>
    <row r="70" spans="1:12">
      <c r="A70" s="2" t="s">
        <v>281</v>
      </c>
      <c r="B70" s="2" t="s">
        <v>51</v>
      </c>
      <c r="C70" s="2" t="s">
        <v>57</v>
      </c>
      <c r="D70" s="11" t="s">
        <v>283</v>
      </c>
      <c r="E70" s="11" t="s">
        <v>282</v>
      </c>
      <c r="G70">
        <v>0</v>
      </c>
      <c r="H70" s="11">
        <v>0.69</v>
      </c>
      <c r="J70" t="s">
        <v>224</v>
      </c>
      <c r="K70" s="4">
        <v>45627</v>
      </c>
      <c r="L70">
        <v>2017</v>
      </c>
    </row>
    <row r="71" spans="1:12">
      <c r="A71" s="2" t="s">
        <v>281</v>
      </c>
      <c r="B71" s="2" t="s">
        <v>51</v>
      </c>
      <c r="C71" s="2" t="s">
        <v>57</v>
      </c>
      <c r="D71" s="11" t="s">
        <v>284</v>
      </c>
      <c r="G71">
        <v>0</v>
      </c>
      <c r="H71" s="11">
        <v>0.69</v>
      </c>
      <c r="J71" t="s">
        <v>224</v>
      </c>
      <c r="K71" s="4">
        <v>45627</v>
      </c>
      <c r="L71">
        <v>2024</v>
      </c>
    </row>
    <row r="72" spans="1:12">
      <c r="A72" s="2" t="s">
        <v>115</v>
      </c>
      <c r="B72" s="2" t="s">
        <v>116</v>
      </c>
      <c r="C72" s="2" t="s">
        <v>117</v>
      </c>
      <c r="D72" s="11" t="s">
        <v>285</v>
      </c>
      <c r="G72">
        <v>0</v>
      </c>
      <c r="H72" s="9">
        <v>1</v>
      </c>
      <c r="J72" t="s">
        <v>267</v>
      </c>
      <c r="K72" s="4">
        <v>43647</v>
      </c>
      <c r="L72">
        <v>2018</v>
      </c>
    </row>
    <row r="73" spans="1:12">
      <c r="A73" s="2" t="s">
        <v>115</v>
      </c>
      <c r="B73" s="2" t="s">
        <v>116</v>
      </c>
      <c r="C73" s="2" t="s">
        <v>117</v>
      </c>
      <c r="D73" s="11" t="s">
        <v>286</v>
      </c>
      <c r="G73">
        <v>0</v>
      </c>
      <c r="H73" s="9">
        <v>1</v>
      </c>
      <c r="J73" t="s">
        <v>224</v>
      </c>
      <c r="K73" s="4">
        <v>44531</v>
      </c>
      <c r="L73">
        <v>2020</v>
      </c>
    </row>
    <row r="74" spans="1:12">
      <c r="A74" s="2" t="s">
        <v>115</v>
      </c>
      <c r="B74" s="2" t="s">
        <v>116</v>
      </c>
      <c r="C74" s="2" t="s">
        <v>117</v>
      </c>
      <c r="D74" s="11" t="s">
        <v>287</v>
      </c>
      <c r="G74">
        <v>0</v>
      </c>
      <c r="H74" s="9">
        <v>1</v>
      </c>
      <c r="J74" t="s">
        <v>224</v>
      </c>
      <c r="K74" s="4">
        <v>44958</v>
      </c>
      <c r="L74">
        <v>2022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 rathore</dc:creator>
  <cp:lastModifiedBy>tanush rathore</cp:lastModifiedBy>
  <dcterms:created xsi:type="dcterms:W3CDTF">2026-09-01T03:22:00Z</dcterms:created>
  <dcterms:modified xsi:type="dcterms:W3CDTF">2026-09-03T01:47:03Z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737F9F56BE4D49658F071B7C199E98CF_12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